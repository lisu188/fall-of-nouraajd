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11488ce10fe4c02" /></Relationships>
</file>

<file path=xl/workbook.xml><?xml version="1.0" encoding="utf-8"?>
<x:workbook xmlns:x="http://schemas.openxmlformats.org/spreadsheetml/2006/main">
  <x:sheets>
    <x:sheet xmlns:r="http://schemas.openxmlformats.org/officeDocument/2006/relationships" name="Dashboard" sheetId="1" r:id="R0bda21d756ef4f87"/>
    <x:sheet xmlns:r="http://schemas.openxmlformats.org/officeDocument/2006/relationships" name="Issue Proposals" sheetId="2" r:id="Re46b3a7d84dd4b8b"/>
    <x:sheet xmlns:r="http://schemas.openxmlformats.org/officeDocument/2006/relationships" name="Validation" sheetId="3" r:id="R80b2977e57fd486a"/>
    <x:sheet xmlns:r="http://schemas.openxmlformats.org/officeDocument/2006/relationships" name="Naming Rules" sheetId="4" r:id="R520491e04da84d79"/>
    <x:sheet xmlns:r="http://schemas.openxmlformats.org/officeDocument/2006/relationships" name="Agent Workflow" sheetId="5" r:id="R2c5e0f901cb3429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3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xf numFmtId="0" fontId="1" fillId="2" borderId="2" xfId="0" applyNumberFormat="1" applyFont="1" applyFill="1" applyBorder="1"/>
    <x:xf numFmtId="0" fontId="1" fillId="2" borderId="3" xfId="0" applyNumberFormat="1" applyFont="1" applyFill="1" applyBorder="1"/>
    <x:xf numFmtId="0" fontId="1" fillId="2" borderId="4" xfId="0" applyNumberFormat="1" applyFont="1" applyFill="1" applyBorder="1"/>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4" xfId="0" applyNumberFormat="1" applyFont="1" applyFill="1" applyBorder="1" applyAlignment="1">
      <x:alignment wrapText="1"/>
    </x:xf>
    <x:xf numFmtId="0" fontId="1" fillId="2" borderId="2" xfId="0" applyNumberFormat="1" applyFont="1" applyFill="1" applyBorder="1" applyAlignment="1">
      <x:alignment horizontal="center" wrapText="1"/>
    </x:xf>
    <x:xf numFmtId="0" fontId="1" fillId="2" borderId="3" xfId="0" applyNumberFormat="1" applyFont="1" applyFill="1" applyBorder="1" applyAlignment="1">
      <x:alignment horizontal="center" wrapText="1"/>
    </x:xf>
    <x:xf numFmtId="0" fontId="1" fillId="2" borderId="4" xfId="0" applyNumberFormat="1" applyFont="1" applyFill="1" applyBorder="1" applyAlignment="1">
      <x:alignment horizontal="center" wrapText="1"/>
    </x:xf>
    <x:xf numFmtId="0" fontId="1" fillId="2" borderId="2" xfId="0" applyNumberFormat="1" applyFont="1" applyFill="1" applyBorder="1" applyAlignment="1">
      <x:alignment horizontal="center" vertical="center" wrapText="1"/>
    </x:xf>
    <x:xf numFmtId="0" fontId="1" fillId="2" borderId="3" xfId="0" applyNumberFormat="1" applyFont="1" applyFill="1" applyBorder="1" applyAlignment="1">
      <x:alignment horizontal="center" vertical="center" wrapText="1"/>
    </x:xf>
    <x:xf numFmtId="0" fontId="1" fillId="2" borderId="4" xfId="0" applyNumberFormat="1" applyFont="1" applyFill="1" applyBorder="1" applyAlignment="1">
      <x:alignment horizontal="center" vertical="center" wrapText="1"/>
    </x:xf>
    <x:xf numFmtId="0" fontId="0" fillId="2" borderId="0" xfId="0" applyNumberFormat="1" applyFont="1" applyFill="1" applyBorder="1" applyAlignment="1">
      <x:alignment vertical="top"/>
    </x:xf>
    <x:xf numFmtId="0" fontId="1" fillId="2" borderId="0" xfId="0" applyNumberFormat="1" applyFont="1" applyFill="1" applyBorder="1" applyAlignment="1">
      <x:alignment vertical="top"/>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x:bgColor rgb="FFBFE3F3"/>
        </x:patternFill>
      </x:fill>
    </x:dxf>
    <x:dxf>
      <x:fill>
        <x:patternFill>
          <x:bgColor rgb="FFFFFFFF"/>
        </x:patternFill>
      </x:fill>
    </x:dxf>
    <x:dxf>
      <x:font>
        <x:color rgb="FF111827"/>
      </x:font>
      <x:fill>
        <x:patternFill>
          <x:bgColor rgb="FFE5E7EB"/>
        </x:patternFill>
      </x:fill>
    </x:dxf>
    <x:dxf>
      <x:font>
        <x:b/>
        <x:color rgb="FF92400E"/>
      </x:font>
      <x:fill>
        <x:patternFill>
          <x:bgColor rgb="FFFEF3C7"/>
        </x:patternFill>
      </x:fill>
    </x:dxf>
    <x:dxf>
      <x:font>
        <x:b/>
        <x:color rgb="FF9D174D"/>
      </x:font>
      <x:fill>
        <x:patternFill>
          <x:bgColor rgb="FFFCE7F3"/>
        </x:patternFill>
      </x:fill>
    </x:dxf>
    <x:dxf>
      <x:font>
        <x:b/>
        <x:color rgb="FF166534"/>
      </x:font>
      <x:fill>
        <x:patternFill>
          <x:bgColor rgb="FFDCFCE7"/>
        </x:patternFill>
      </x:fill>
    </x:dxf>
    <x:dxf>
      <x:font>
        <x:b/>
        <x:color rgb="FF991B1B"/>
      </x:font>
      <x:fill>
        <x:patternFill>
          <x:bgColor rgb="FFFEE2E2"/>
        </x:patternFill>
      </x:fill>
    </x:dxf>
    <x:dxf>
      <x:font>
        <x:color rgb="FF3730A3"/>
      </x:font>
      <x:fill>
        <x:patternFill>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ba85531571e42c7" /><Relationship Type="http://schemas.openxmlformats.org/officeDocument/2006/relationships/theme" Target="/xl/theme/theme1.xml" Id="R4d53ebf30aaf4640" /><Relationship Type="http://schemas.openxmlformats.org/officeDocument/2006/relationships/sharedStrings" Target="/xl/sharedStrings.xml" Id="R7f6b1b60bd4b4605" /><Relationship Type="http://schemas.openxmlformats.org/officeDocument/2006/relationships/worksheet" Target="/xl/worksheets/sheet1.xml" Id="R0bda21d756ef4f87" /><Relationship Type="http://schemas.openxmlformats.org/officeDocument/2006/relationships/worksheet" Target="/xl/worksheets/sheet2.xml" Id="Re46b3a7d84dd4b8b" /><Relationship Type="http://schemas.openxmlformats.org/officeDocument/2006/relationships/worksheet" Target="/xl/worksheets/sheet3.xml" Id="R80b2977e57fd486a" /><Relationship Type="http://schemas.openxmlformats.org/officeDocument/2006/relationships/worksheet" Target="/xl/worksheets/sheet4.xml" Id="R520491e04da84d79" /><Relationship Type="http://schemas.openxmlformats.org/officeDocument/2006/relationships/worksheet" Target="/xl/worksheets/sheet5.xml" Id="R2c5e0f901cb342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9095ee45a82c40eb"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095ee45a82c40eb"/>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b835a190364c471e" /></Relationships>
</file>

<file path=xl/worksheets/_rels/sheet2.xml.rels>&#65279;<?xml version="1.0" encoding="utf-8"?><Relationships xmlns="http://schemas.openxmlformats.org/package/2006/relationships"><Relationship Type="http://schemas.openxmlformats.org/officeDocument/2006/relationships/table" Target="/xl/tables/table1.xml" Id="R15252a289fd44dc7"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2026-06-20 18:17 UTC</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Proposals'!$H$2:$H$139,D$8)</x:f>
        <x:v>23</x:v>
      </x:c>
      <x:c r="E9" s="39" t="n">
        <x:f>COUNTIFS('Issue Proposals'!$B$2:$B$139,A9,'Issue Proposals'!$H$2:$H$139,E$8)</x:f>
        <x:v>0</x:v>
      </x:c>
      <x:c r="F9" s="39" t="n">
        <x:f>COUNTIFS('Issue Proposals'!$B$2:$B$139,A9,'Issue Proposals'!$H$2:$H$139,F$8)</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Proposals'!$H$2:$H$139,D$8)</x:f>
        <x:v>0</x:v>
      </x:c>
      <x:c r="E10" s="39" t="n">
        <x:f>COUNTIFS('Issue Proposals'!$B$2:$B$139,A10,'Issue Proposals'!$H$2:$H$139,E$8)</x:f>
        <x:v>26</x:v>
      </x:c>
      <x:c r="F10" s="39" t="n">
        <x:f>COUNTIFS('Issue Proposals'!$B$2:$B$139,A10,'Issue Proposals'!$H$2:$H$139,F$8)</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Proposals'!$H$2:$H$139,D$8)</x:f>
        <x:v>2</x:v>
      </x:c>
      <x:c r="E11" s="39" t="n">
        <x:f>COUNTIFS('Issue Proposals'!$B$2:$B$139,A11,'Issue Proposals'!$H$2:$H$139,E$8)</x:f>
        <x:v>18</x:v>
      </x:c>
      <x:c r="F11" s="39" t="n">
        <x:f>COUNTIFS('Issue Proposals'!$B$2:$B$139,A11,'Issue Proposals'!$H$2:$H$139,F$8)</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Proposals'!$H$2:$H$139,D$8)</x:f>
        <x:v>0</x:v>
      </x:c>
      <x:c r="E12" s="39" t="n">
        <x:f>COUNTIFS('Issue Proposals'!$B$2:$B$139,A12,'Issue Proposals'!$H$2:$H$139,E$8)</x:f>
        <x:v>11</x:v>
      </x:c>
      <x:c r="F12" s="39" t="n">
        <x:f>COUNTIFS('Issue Proposals'!$B$2:$B$139,A12,'Issue Proposals'!$H$2:$H$139,F$8)</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Proposals'!$H$2:$H$139,D$8)</x:f>
        <x:v>0</x:v>
      </x:c>
      <x:c r="E13" s="39" t="n">
        <x:f>COUNTIFS('Issue Proposals'!$B$2:$B$139,A13,'Issue Proposals'!$H$2:$H$139,E$8)</x:f>
        <x:v>6</x:v>
      </x:c>
      <x:c r="F13" s="39" t="n">
        <x:f>COUNTIFS('Issue Proposals'!$B$2:$B$139,A13,'Issue Proposals'!$H$2:$H$139,F$8)</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Proposals'!$H$2:$H$139,D$8)</x:f>
        <x:v>0</x:v>
      </x:c>
      <x:c r="E14" s="39" t="n">
        <x:f>COUNTIFS('Issue Proposals'!$B$2:$B$139,A14,'Issue Proposals'!$H$2:$H$139,E$8)</x:f>
        <x:v>0</x:v>
      </x:c>
      <x:c r="F14" s="39" t="n">
        <x:f>COUNTIFS('Issue Proposals'!$B$2:$B$139,A14,'Issue Proposals'!$H$2:$H$139,F$8)</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Proposals'!$H$2:$H$139,D$8)</x:f>
        <x:v>0</x:v>
      </x:c>
      <x:c r="E15" s="39" t="n">
        <x:f>COUNTIFS('Issue Proposals'!$B$2:$B$139,A15,'Issue Proposals'!$H$2:$H$139,E$8)</x:f>
        <x:v>13</x:v>
      </x:c>
      <x:c r="F15" s="39" t="n">
        <x:f>COUNTIFS('Issue Proposals'!$B$2:$B$139,A15,'Issue Proposals'!$H$2:$H$139,F$8)</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96</x:v>
      </x:c>
      <x:c r="C28" s="53"/>
      <x:c r="D28" s="53"/>
      <x:c r="E28" s="53"/>
      <x:c r="F28" s="53"/>
      <x:c r="G28" s="53"/>
      <x:c r="H28" s="53"/>
      <x:c r="I28" s="53"/>
      <x:c r="J28" s="53"/>
      <x:c r="K28" s="53"/>
      <x:c r="L28" s="53"/>
      <x:c r="M28" s="53"/>
      <x:c r="N28" s="53"/>
    </x:row>
    <x:row r="29">
      <x:c r="A29" s="39" t="str">
        <x:v>IN_PROGRESS</x:v>
      </x:c>
      <x:c r="B29" s="39" t="n">
        <x:f>COUNTIF('Issue Proposals'!$Q$2:$Q$139,A29)</x:f>
        <x:v>11</x:v>
      </x:c>
      <x:c r="C29" s="53"/>
      <x:c r="D29" s="53"/>
      <x:c r="E29" s="53"/>
      <x:c r="F29" s="53"/>
      <x:c r="G29" s="53"/>
      <x:c r="H29" s="53"/>
      <x:c r="I29" s="53"/>
      <x:c r="J29" s="53"/>
      <x:c r="K29" s="53"/>
      <x:c r="L29" s="53"/>
      <x:c r="M29" s="53"/>
      <x:c r="N29" s="53"/>
    </x:row>
    <x:row r="30">
      <x:c r="A30" s="39" t="str">
        <x:v>BLOCKED</x:v>
      </x:c>
      <x:c r="B30" s="39" t="n">
        <x:f>COUNTIF('Issue Proposals'!$Q$2:$Q$139,A30)</x:f>
        <x:v>1</x:v>
      </x:c>
      <x:c r="C30" s="53"/>
      <x:c r="D30" s="53"/>
      <x:c r="E30" s="53"/>
      <x:c r="F30" s="53"/>
      <x:c r="G30" s="53"/>
      <x:c r="H30" s="53"/>
      <x:c r="I30" s="53"/>
      <x:c r="J30" s="53"/>
      <x:c r="K30" s="53"/>
      <x:c r="L30" s="53"/>
      <x:c r="M30" s="53"/>
      <x:c r="N30" s="53"/>
    </x:row>
    <x:row r="31">
      <x:c r="A31" s="39" t="str">
        <x:v>DONE</x:v>
      </x:c>
      <x:c r="B31" s="39" t="n">
        <x:f>COUNTIF('Issue Proposals'!$Q$2:$Q$139,A31)</x:f>
        <x:v>30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b835a190364c471e"/>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55" hidden="0" customWidth="1"/>
    <x:col min="14" max="14" width="50" hidden="0" customWidth="1"/>
    <x:col min="15" max="15" width="50" hidden="0" customWidth="1"/>
    <x:col min="16" max="16" width="42"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40" hidden="0" customWidth="1"/>
    <x:col min="27" max="27" width="40" hidden="0" customWidth="1"/>
    <x:col min="28" max="28" width="40"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DONE</x:v>
      </x:c>
      <x:c r="R5" s="14" t="str">
        <x:v>controller/ctrl-lis-2-36d0fa13/subagent-1</x:v>
      </x:c>
      <x:c r="S5" s="14" t="str"/>
      <x:c r="T5" s="94" t="str">
        <x:v>9a79929c-5d79-4fd5-8162-20e5d2bea97d</x:v>
      </x:c>
      <x:c r="U5" s="95" t="str">
        <x:v>2026-06-20T16:15:52Z</x:v>
      </x:c>
      <x:c r="V5" s="95" t="str">
        <x:v>2026-06-21T04:10:47Z</x:v>
      </x:c>
      <x:c r="W5" s="95"/>
      <x:c r="X5" s="95" t="str">
        <x:v>2026-06-21T04:10:47Z</x:v>
      </x:c>
      <x:c r="Y5" s="101" t="n">
        <x:v>100</x:v>
      </x:c>
      <x:c r="Z5" s="95" t="str">
        <x:v>Completed</x:v>
      </x:c>
      <x:c r="AA5" s="95" t="str">
        <x:v>Implemented guaranteed fight controller cleanup/end callbacks; implementation PR #635 merged as 6f89bb36.</x:v>
      </x:c>
      <x:c r="AB5" s="95" t="str">
        <x:v>Controller verified GitHub Actions with python3 scripts/poll_pr_checks.py 635 --check linux --require-step coverage: build/linux passed and linux-coverage coverage step passed; PR #635 also had linux-fast, windows-deps, and windows success.</x:v>
      </x:c>
      <x:c r="AC5" s="96" t="n">
        <x:v>1</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IN_PROGRESS</x:v>
      </x:c>
      <x:c r="R11" s="14" t="str">
        <x:v>controller/ctrl-lis-2-9b3984de/subagent-6</x:v>
      </x:c>
      <x:c r="S11" s="14" t="str"/>
      <x:c r="T11" s="94" t="str">
        <x:v>2e9831b0-ff77-4233-821a-47c2413271b3</x:v>
      </x:c>
      <x:c r="U11" s="95" t="str">
        <x:v>2026-06-20T14:17:51Z</x:v>
      </x:c>
      <x:c r="V11" s="95" t="str">
        <x:v>2026-06-20T14:17:51Z</x:v>
      </x:c>
      <x:c r="W11" s="95" t="str">
        <x:v>2026-06-21T14:17:51Z</x:v>
      </x:c>
      <x:c r="X11" s="95"/>
      <x:c r="Y11" s="101" t="n">
        <x:v>0</x:v>
      </x:c>
      <x:c r="Z11" s="95" t="str">
        <x:v>Claimed by controller/ctrl-lis-2-9b3984de/subagent-6</x:v>
      </x:c>
      <x:c r="AA11" s="95"/>
      <x:c r="AB11" s="95"/>
      <x:c r="AC11" s="96" t="n">
        <x:v>1</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IN_PROGRESS</x:v>
      </x:c>
      <x:c r="R15" s="14" t="str">
        <x:v>controller/ctrl-lis-2-4bbbdd22/subagent-10</x:v>
      </x:c>
      <x:c r="S15" s="14" t="str"/>
      <x:c r="T15" s="94" t="str">
        <x:v>0bc9327d-49c8-432f-a3e8-fdd71c7fe47c</x:v>
      </x:c>
      <x:c r="U15" s="95" t="str">
        <x:v>2026-06-20T06:20:57Z</x:v>
      </x:c>
      <x:c r="V15" s="95" t="str">
        <x:v>2026-06-20T14:04:23Z</x:v>
      </x:c>
      <x:c r="W15" s="95" t="str">
        <x:v>2026-06-21T14:04:23Z</x:v>
      </x:c>
      <x:c r="X15" s="95"/>
      <x:c r="Y15" s="101" t="n">
        <x:v>75</x:v>
      </x:c>
      <x:c r="Z15" s="95" t="str">
        <x:v>Worker implementation complete; controller review and PR delivery pending.</x:v>
      </x:c>
      <x:c r="AA15" s="95"/>
      <x:c r="AB15" s="95"/>
      <x:c r="AC15" s="96" t="n">
        <x:v>1</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IN_PROGRESS</x:v>
      </x:c>
      <x:c r="R17" s="14" t="str">
        <x:v>controller/ctrl-lis-2-b17e29a3/subagent-3</x:v>
      </x:c>
      <x:c r="S17" s="14" t="str"/>
      <x:c r="T17" s="94" t="str">
        <x:v>ed201c72-2500-48b8-9d25-64b8481e3ec2</x:v>
      </x:c>
      <x:c r="U17" s="95" t="str">
        <x:v>2026-06-20T16:18:15Z</x:v>
      </x:c>
      <x:c r="V17" s="95" t="str">
        <x:v>2026-06-20T20:25:20Z</x:v>
      </x:c>
      <x:c r="W17" s="95" t="str">
        <x:v>2026-06-21T16:18:15Z</x:v>
      </x:c>
      <x:c r="X17" s="95"/>
      <x:c r="Y17" s="101" t="n">
        <x:v>85</x:v>
      </x:c>
      <x:c r="Z17" s="95" t="str">
        <x:v>Implementation PR #636 open at 6c44e4f; row-specific handler lane passed on Linux, but PR is blocked on shared GUI native failures pending repair PR #611/#659 before rebase/rerun.</x:v>
      </x:c>
      <x:c r="AA17" s="95"/>
      <x:c r="AB17" s="95"/>
      <x:c r="AC17" s="96" t="n">
        <x:v>1</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NOT_STARTED</x:v>
      </x:c>
      <x:c r="R18" s="14" t="str"/>
      <x:c r="S18" s="14" t="str"/>
      <x:c r="T18" s="94"/>
      <x:c r="U18" s="95"/>
      <x:c r="V18" s="95"/>
      <x:c r="W18" s="95"/>
      <x:c r="X18" s="95"/>
      <x:c r="Y18" s="101" t="n">
        <x:v>0</x:v>
      </x:c>
      <x:c r="Z18" s="95"/>
      <x:c r="AA18" s="95"/>
      <x:c r="AB18" s="95"/>
      <x:c r="AC18" s="96" t="n">
        <x:v>0</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NOT_STARTED</x:v>
      </x:c>
      <x:c r="R19" s="14" t="str"/>
      <x:c r="S19" s="14" t="str"/>
      <x:c r="T19" s="94"/>
      <x:c r="U19" s="95"/>
      <x:c r="V19" s="95"/>
      <x:c r="W19" s="95"/>
      <x:c r="X19" s="95"/>
      <x:c r="Y19" s="101" t="n">
        <x:v>0</x:v>
      </x:c>
      <x:c r="Z19" s="95"/>
      <x:c r="AA19" s="95"/>
      <x:c r="AB19" s="95"/>
      <x:c r="AC19" s="96" t="n">
        <x:v>0</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IN_PROGRESS</x:v>
      </x:c>
      <x:c r="R22" s="14" t="str">
        <x:v>controller/ctrl-lis-2-36d0fa13/subagent-2</x:v>
      </x:c>
      <x:c r="S22" s="14" t="str"/>
      <x:c r="T22" s="94" t="str">
        <x:v>dd81399f-bcdb-425d-9830-e79969d809cb</x:v>
      </x:c>
      <x:c r="U22" s="95" t="str">
        <x:v>2026-06-20T16:20:27Z</x:v>
      </x:c>
      <x:c r="V22" s="95" t="str">
        <x:v>2026-06-20T19:43:31Z</x:v>
      </x:c>
      <x:c r="W22" s="95" t="str">
        <x:v>2026-06-21T19:43:31Z</x:v>
      </x:c>
      <x:c r="X22" s="95"/>
      <x:c r="Y22" s="101" t="n">
        <x:v>80</x:v>
      </x:c>
      <x:c r="Z22" s="95" t="str">
        <x:v>Implementation PR #639 open; py_compile/stub checks passed; runtime evidence blocked because CI fails shared gui_unit_tests/gui_drag_proxy_unit_tests before Python suites.</x:v>
      </x:c>
      <x:c r="AA22" s="95"/>
      <x:c r="AB22" s="95"/>
      <x:c r="AC22" s="96" t="n">
        <x:v>1</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NOT_STARTED</x:v>
      </x:c>
      <x:c r="R23" s="14" t="str"/>
      <x:c r="S23" s="14" t="str"/>
      <x:c r="T23" s="94"/>
      <x:c r="U23" s="95"/>
      <x:c r="V23" s="95"/>
      <x:c r="W23" s="95"/>
      <x:c r="X23" s="95"/>
      <x:c r="Y23" s="101" t="n">
        <x:v>0</x:v>
      </x:c>
      <x:c r="Z23" s="95"/>
      <x:c r="AA23" s="95"/>
      <x:c r="AB23" s="95"/>
      <x:c r="AC23" s="96" t="n">
        <x:v>0</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NOT_STARTED</x:v>
      </x:c>
      <x:c r="R24" s="14" t="str"/>
      <x:c r="S24" s="14" t="str"/>
      <x:c r="T24" s="94"/>
      <x:c r="U24" s="95"/>
      <x:c r="V24" s="95"/>
      <x:c r="W24" s="95"/>
      <x:c r="X24" s="95"/>
      <x:c r="Y24" s="101" t="n">
        <x:v>0</x:v>
      </x:c>
      <x:c r="Z24" s="95"/>
      <x:c r="AA24" s="95"/>
      <x:c r="AB24" s="95"/>
      <x:c r="AC24" s="96" t="n">
        <x:v>0</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BLOCKED</x:v>
      </x:c>
      <x:c r="R25" s="14" t="str">
        <x:v>controller/ctrl-lis-2-9b3984de/subagent-1</x:v>
      </x:c>
      <x:c r="S25" s="14" t="str"/>
      <x:c r="T25" s="94" t="str">
        <x:v>59cbb278-40c2-4812-bb69-9f07ce8c5189</x:v>
      </x:c>
      <x:c r="U25" s="95" t="str">
        <x:v>2026-06-19T15:03:11Z</x:v>
      </x:c>
      <x:c r="V25" s="95" t="str">
        <x:v>2026-06-19T16:15:40Z</x:v>
      </x:c>
      <x:c r="W25" s="95"/>
      <x:c r="X25" s="95"/>
      <x:c r="Y25" s="101" t="n">
        <x:v>0</x:v>
      </x:c>
      <x:c r="Z25" s="95" t="str">
        <x:v>Blocked by unrelated CFightHandler coverage-exclusion failure in PR #502 linux-coverage</x:v>
      </x:c>
      <x:c r="AA25" s="95" t="str">
        <x:v>Implementation PR #502 is complete and scoped to context-owned provider accessors, but it cannot be merged because the required CI coverage job fails on an unrelated repository-wide coverage exclusion problem in src/handler/CFightHandler.cpp. The implementation branch itself does not modify CFightHandler.cpp or the workbook.</x:v>
      </x:c>
      <x:c r="AB25" s="95" t="str">
        <x:v>PR #502 local/controller evidence: implementation diff is source/test-only; workbook diff is empty; focused local resource_unit_tests validation passed before PR. GitHub Actions run 27835557213: linux, linux-fast, windows, and windows-deps passed; linux-coverage failed with ValueError: coverage exclusion for src/handler/CFightHandler.cpp references non-instrumented line(s): 450, 462. The failure is external to the row 25 provider changes, so the issue is blocked pending coverage-baseline cleanup instead of mixing unrelated CFightHandler work into PR #502.</x:v>
      </x:c>
      <x:c r="AC25" s="96" t="n">
        <x:v>2</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NOT_STARTED</x:v>
      </x:c>
      <x:c r="R26" s="14" t="str"/>
      <x:c r="S26" s="14" t="str"/>
      <x:c r="T26" s="94"/>
      <x:c r="U26" s="95"/>
      <x:c r="V26" s="95"/>
      <x:c r="W26" s="95"/>
      <x:c r="X26" s="95"/>
      <x:c r="Y26" s="101" t="n">
        <x:v>0</x:v>
      </x:c>
      <x:c r="Z26" s="95"/>
      <x:c r="AA26" s="95"/>
      <x:c r="AB26" s="95"/>
      <x:c r="AC26" s="96" t="n">
        <x:v>0</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DONE</x:v>
      </x:c>
      <x:c r="R30" s="14" t="str">
        <x:v>controller/ctrl-lis-2-9b3984de/subagent-4</x:v>
      </x:c>
      <x:c r="S30" s="14" t="str"/>
      <x:c r="T30" s="94" t="str">
        <x:v>fd9f18bb-3846-43a1-89a8-9472fe10b0ca</x:v>
      </x:c>
      <x:c r="U30" s="95" t="str">
        <x:v>2026-06-19T16:19:25Z</x:v>
      </x:c>
      <x:c r="V30" s="95" t="str">
        <x:v>2026-06-20T14:13:45Z</x:v>
      </x:c>
      <x:c r="W30" s="95"/>
      <x:c r="X30" s="95" t="str">
        <x:v>2026-06-20T14:13:45Z</x:v>
      </x:c>
      <x:c r="Y30" s="101" t="n">
        <x:v>100</x:v>
      </x:c>
      <x:c r="Z30" s="95" t="str">
        <x:v>Completed</x:v>
      </x:c>
      <x:c r="AA30" s="95" t="str">
        <x:v>Moved lazy CGuiHandler ownership into CGameContext while preserving CGame::getGuiHandler(), exposed CGameContext.getGuiHandler() to Python, and added native/Python regressions for handler identity and per-game separation.</x:v>
      </x:c>
      <x:c r="AB30" s="95" t="str">
        <x:v>Local focused checks after final rebase: git diff --check origin/main...HEAD; python3 -m py_compile test.py; git diff --quiet origin/main...HEAD -- planning/fall_of_nouraajd_issue_proposals.xlsx. Worker local checks included clang-format, black, configure with skips, git submodule update, cmake --build cmake-build-release --target core_unit_tests, and ctest -R for_unit_tests.core_unit_tests. PR #528 merged at 2026-06-20T14:10:23Z with merge commit c20bcba4; fresh CI polling for linux and linux-coverage was stopped per workflow because the PR was already merged.</x:v>
      </x:c>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NOT_STARTED</x:v>
      </x:c>
      <x:c r="R31" s="14" t="str"/>
      <x:c r="S31" s="14" t="str"/>
      <x:c r="T31" s="94"/>
      <x:c r="U31" s="95"/>
      <x:c r="V31" s="95"/>
      <x:c r="W31" s="95"/>
      <x:c r="X31" s="95"/>
      <x:c r="Y31" s="101" t="n">
        <x:v>0</x:v>
      </x:c>
      <x:c r="Z31" s="95"/>
      <x:c r="AA31" s="95"/>
      <x:c r="AB31" s="95"/>
      <x:c r="AC31" s="96" t="n">
        <x:v>0</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NOT_STARTED</x:v>
      </x:c>
      <x:c r="R32" s="14" t="str"/>
      <x:c r="S32" s="14" t="str"/>
      <x:c r="T32" s="94"/>
      <x:c r="U32" s="95"/>
      <x:c r="V32" s="95"/>
      <x:c r="W32" s="95"/>
      <x:c r="X32" s="95"/>
      <x:c r="Y32" s="101" t="n">
        <x:v>0</x:v>
      </x:c>
      <x:c r="Z32" s="95"/>
      <x:c r="AA32" s="95"/>
      <x:c r="AB32" s="95"/>
      <x:c r="AC32" s="96" t="n">
        <x:v>0</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NOT_STARTED</x:v>
      </x:c>
      <x:c r="R33" s="14" t="str"/>
      <x:c r="S33" s="14" t="str"/>
      <x:c r="T33" s="94"/>
      <x:c r="U33" s="95"/>
      <x:c r="V33" s="95"/>
      <x:c r="W33" s="95"/>
      <x:c r="X33" s="95"/>
      <x:c r="Y33" s="101" t="n">
        <x:v>0</x:v>
      </x:c>
      <x:c r="Z33" s="95"/>
      <x:c r="AA33" s="95"/>
      <x:c r="AB33" s="95"/>
      <x:c r="AC33" s="96" t="n">
        <x:v>0</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NOT_STARTED</x:v>
      </x:c>
      <x:c r="R34" s="14" t="str"/>
      <x:c r="S34" s="14" t="str"/>
      <x:c r="T34" s="94"/>
      <x:c r="U34" s="95"/>
      <x:c r="V34" s="95"/>
      <x:c r="W34" s="95"/>
      <x:c r="X34" s="95"/>
      <x:c r="Y34" s="101" t="n">
        <x:v>0</x:v>
      </x:c>
      <x:c r="Z34" s="95"/>
      <x:c r="AA34" s="95"/>
      <x:c r="AB34" s="95"/>
      <x:c r="AC34" s="96" t="n">
        <x:v>0</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IN_PROGRESS</x:v>
      </x:c>
      <x:c r="R35" s="14" t="str">
        <x:v>controller/ctrl-lis-2-b175230b/subagent-3</x:v>
      </x:c>
      <x:c r="S35" s="14" t="str"/>
      <x:c r="T35" s="94" t="str">
        <x:v>c3efe82c-4e2a-4ea7-b67b-5d3461a0afdc</x:v>
      </x:c>
      <x:c r="U35" s="95" t="str">
        <x:v>2026-06-21T04:09:22Z</x:v>
      </x:c>
      <x:c r="V35" s="95" t="str">
        <x:v>2026-06-21T04:09:22Z</x:v>
      </x:c>
      <x:c r="W35" s="95" t="str">
        <x:v>2026-06-21T06:09:22Z</x:v>
      </x:c>
      <x:c r="X35" s="95"/>
      <x:c r="Y35" s="101" t="n">
        <x:v>0</x:v>
      </x:c>
      <x:c r="Z35" s="95" t="str">
        <x:v>Claimed by controller/ctrl-lis-2-b175230b/subagent-3</x:v>
      </x:c>
      <x:c r="AA35" s="95"/>
      <x:c r="AB35" s="95"/>
      <x:c r="AC35" s="96" t="n">
        <x:v>1</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NOT_STARTED</x:v>
      </x:c>
      <x:c r="R36" s="14" t="str"/>
      <x:c r="S36" s="14" t="str"/>
      <x:c r="T36" s="94"/>
      <x:c r="U36" s="95"/>
      <x:c r="V36" s="95"/>
      <x:c r="W36" s="95"/>
      <x:c r="X36" s="95"/>
      <x:c r="Y36" s="101" t="n">
        <x:v>0</x:v>
      </x:c>
      <x:c r="Z36" s="95"/>
      <x:c r="AA36" s="95"/>
      <x:c r="AB36" s="95"/>
      <x:c r="AC36" s="96" t="n">
        <x:v>0</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NOT_STARTED</x:v>
      </x:c>
      <x:c r="R37" s="14" t="str"/>
      <x:c r="S37" s="14" t="str"/>
      <x:c r="T37" s="94"/>
      <x:c r="U37" s="95"/>
      <x:c r="V37" s="95"/>
      <x:c r="W37" s="95"/>
      <x:c r="X37" s="95"/>
      <x:c r="Y37" s="101" t="n">
        <x:v>0</x:v>
      </x:c>
      <x:c r="Z37" s="95"/>
      <x:c r="AA37" s="95"/>
      <x:c r="AB37" s="95"/>
      <x:c r="AC37" s="96" t="n">
        <x:v>0</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DONE</x:v>
      </x:c>
      <x:c r="R41" s="14" t="str">
        <x:v>controller/ctrl-lis-2-b17e29a3/subagent-1</x:v>
      </x:c>
      <x:c r="S41" s="14" t="str"/>
      <x:c r="T41" s="94" t="str">
        <x:v>3ddf9cdc-ab7f-48c3-8a42-01b212f4989e</x:v>
      </x:c>
      <x:c r="U41" s="95" t="str">
        <x:v>2026-06-20T15:22:16Z</x:v>
      </x:c>
      <x:c r="V41" s="95" t="str">
        <x:v>2026-06-20T16:00:57Z</x:v>
      </x:c>
      <x:c r="W41" s="95"/>
      <x:c r="X41" s="95" t="str">
        <x:v>2026-06-20T16:00:57Z</x:v>
      </x:c>
      <x:c r="Y41" s="101" t="n">
        <x:v>100</x:v>
      </x:c>
      <x:c r="Z41" s="95" t="str">
        <x:v>Completed</x:v>
      </x:c>
      <x:c r="AA41" s="95" t="str">
        <x:v>Merged PR #602. Added context-scoped transition generation helpers, advanced generation on transition start/commit and game shutdown, guarded stale scene-manager callbacks, exposed read-only Python helpers, and added native regression coverage for generation, stale callback cleanup, trace payload helpers, and related serializer helper coverage.</x:v>
      </x:c>
      <x:c r="AB41" s="95" t="str">
        <x:v>Claim PR #600 validated with issue_queue.py validate, tests.test_issue_queue, and git diff --check before squash merge. Implementation PR #602 used local clang-format and git diff --check; no prebuilt focused native test executables were present. CI polling selected build / linux with required coverage. First run passed linux but failed coverage at 89.37%; follow-up coverage fix was pushed. Final PR #602 merged at 2026-06-20T15:59:29Z with merge commit f7d4ad0a0853131f46611ff5d74d945931d05d24 before the poller reached terminal output, satisfying the workflow's merged-PR completion gate.</x:v>
      </x:c>
      <x:c r="AC41" s="96" t="n">
        <x:v>1</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NOT_STARTED</x:v>
      </x:c>
      <x:c r="R42" s="14" t="str"/>
      <x:c r="S42" s="14" t="str"/>
      <x:c r="T42" s="94"/>
      <x:c r="U42" s="95"/>
      <x:c r="V42" s="95"/>
      <x:c r="W42" s="95"/>
      <x:c r="X42" s="95"/>
      <x:c r="Y42" s="101" t="n">
        <x:v>0</x:v>
      </x:c>
      <x:c r="Z42" s="95"/>
      <x:c r="AA42" s="95"/>
      <x:c r="AB42" s="95"/>
      <x:c r="AC42" s="96" t="n">
        <x:v>0</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DONE</x:v>
      </x:c>
      <x:c r="R44" s="14" t="str">
        <x:v>controller/ctrl-lis-2-b17e29a3/subagent-2</x:v>
      </x:c>
      <x:c r="S44" s="14" t="str"/>
      <x:c r="T44" s="94" t="str">
        <x:v>e2aae239-2eb3-4b44-9d21-4a6b3b5eff08</x:v>
      </x:c>
      <x:c r="U44" s="95" t="str">
        <x:v>2026-06-20T16:10:37Z</x:v>
      </x:c>
      <x:c r="V44" s="95" t="str">
        <x:v>2026-06-20T18:58:18Z</x:v>
      </x:c>
      <x:c r="W44" s="95"/>
      <x:c r="X44" s="95" t="str">
        <x:v>2026-06-20T18:58:18Z</x:v>
      </x:c>
      <x:c r="Y44" s="101" t="n">
        <x:v>100</x:v>
      </x:c>
      <x:c r="Z44" s="95" t="str">
        <x:v>Completed</x:v>
      </x:c>
      <x:c r="AA44" s="95" t="str">
        <x:v>PR #612 added native regression coverage for duplicate CGame::changeMap requests before event-loop pumping; production already kept the first pending transition and rejected duplicates. PR #612 merged into main as e2301088.</x:v>
      </x:c>
      <x:c r="AB44" s="95" t="str">
        <x:v>Local: clang-format -i tests/unit/test_map.cpp passed; git diff --check passed; no local native build/test run because isolated worktree had no build tree or prebuilt test binary. CI: PR #612 build run 27876939411 had linux-fast and windows-deps success; linux C++ step failed in gui_unit_tests and gui_drag_proxy_unit_tests segfaults while map_unit_tests passed; linux-coverage and windows also failed. The implementation PR nevertheless merged at 2026-06-20T17:17:28Z; validation caveat retained.</x:v>
      </x:c>
      <x:c r="AC44" s="96" t="n">
        <x:v>1</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NOT_STARTED</x:v>
      </x:c>
      <x:c r="R45" s="14" t="str"/>
      <x:c r="S45" s="14" t="str"/>
      <x:c r="T45" s="94"/>
      <x:c r="U45" s="95"/>
      <x:c r="V45" s="95"/>
      <x:c r="W45" s="95"/>
      <x:c r="X45" s="95"/>
      <x:c r="Y45" s="101" t="n">
        <x:v>0</x:v>
      </x:c>
      <x:c r="Z45" s="95"/>
      <x:c r="AA45" s="95"/>
      <x:c r="AB45" s="95"/>
      <x:c r="AC45" s="96" t="n">
        <x:v>0</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DONE</x:v>
      </x:c>
      <x:c r="R48" s="14" t="str">
        <x:v>controller/ctrl-lis-2-36d0fa13/subagent-4</x:v>
      </x:c>
      <x:c r="S48" s="14" t="str"/>
      <x:c r="T48" s="94" t="str">
        <x:v>2533a7be-7ea1-49be-aad6-82cbec094bb4</x:v>
      </x:c>
      <x:c r="U48" s="95" t="str">
        <x:v>2026-06-20T19:11:11Z</x:v>
      </x:c>
      <x:c r="V48" s="95" t="str">
        <x:v>2026-06-21T04:13:21Z</x:v>
      </x:c>
      <x:c r="W48" s="95"/>
      <x:c r="X48" s="95" t="str">
        <x:v>2026-06-21T04:13:21Z</x:v>
      </x:c>
      <x:c r="Y48" s="101" t="n">
        <x:v>100</x:v>
      </x:c>
      <x:c r="Z48" s="95" t="str">
        <x:v>Completed</x:v>
      </x:c>
      <x:c r="AA48" s="95" t="str">
        <x:v>Implemented observer notifications from direct state setters; implementation PR #647 merged as 697df639.</x:v>
      </x:c>
      <x:c r="AB48" s="95" t="str">
        <x:v>Controller verified GitHub Actions with python3 scripts/poll_pr_checks.py 647 --check linux --require-step coverage: build/linux passed and linux-coverage coverage step passed; PR #647 also had linux-fast, windows-deps, and windows success.</x:v>
      </x:c>
      <x:c r="AC48" s="96" t="n">
        <x:v>1</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NOT_STARTED</x:v>
      </x:c>
      <x:c r="R49" s="14" t="str"/>
      <x:c r="S49" s="14" t="str"/>
      <x:c r="T49" s="94"/>
      <x:c r="U49" s="95"/>
      <x:c r="V49" s="95"/>
      <x:c r="W49" s="95"/>
      <x:c r="X49" s="95"/>
      <x:c r="Y49" s="101" t="n">
        <x:v>0</x:v>
      </x:c>
      <x:c r="Z49" s="95"/>
      <x:c r="AA49" s="95"/>
      <x:c r="AB49" s="95"/>
      <x:c r="AC49" s="96" t="n">
        <x:v>0</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NOT_STARTED</x:v>
      </x:c>
      <x:c r="R50" s="14" t="str"/>
      <x:c r="S50" s="14" t="str"/>
      <x:c r="T50" s="94"/>
      <x:c r="U50" s="95"/>
      <x:c r="V50" s="95"/>
      <x:c r="W50" s="95"/>
      <x:c r="X50" s="95"/>
      <x:c r="Y50" s="101" t="n">
        <x:v>0</x:v>
      </x:c>
      <x:c r="Z50" s="95"/>
      <x:c r="AA50" s="95"/>
      <x:c r="AB50" s="95"/>
      <x:c r="AC50" s="96" t="n">
        <x:v>0</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DONE</x:v>
      </x:c>
      <x:c r="R54" s="14" t="str">
        <x:v>controller/ctrl-lis-2-36d0fa13/subagent-3</x:v>
      </x:c>
      <x:c r="S54" s="14" t="str"/>
      <x:c r="T54" s="94" t="str">
        <x:v>2ad8a1ab-1491-4b82-8a81-8a1d86b2f2d6</x:v>
      </x:c>
      <x:c r="U54" s="95" t="str">
        <x:v>2026-06-20T19:02:41Z</x:v>
      </x:c>
      <x:c r="V54" s="95" t="str">
        <x:v>2026-06-21T04:14:35Z</x:v>
      </x:c>
      <x:c r="W54" s="95"/>
      <x:c r="X54" s="95" t="str">
        <x:v>2026-06-21T04:14:35Z</x:v>
      </x:c>
      <x:c r="Y54" s="101" t="n">
        <x:v>100</x:v>
      </x:c>
      <x:c r="Z54" s="95" t="str">
        <x:v>Completed</x:v>
      </x:c>
      <x:c r="AA54" s="95" t="str">
        <x:v>Implemented runtime type creation smoke coverage; implementation PR #644 merged as bef53361.</x:v>
      </x:c>
      <x:c r="AB54" s="95" t="str">
        <x:v>Controller verified GitHub Actions with python3 scripts/poll_pr_checks.py 644 --check linux --require-step coverage: build/linux passed and linux-coverage coverage step passed; PR #644 also had linux-fast, windows-deps, and windows success.</x:v>
      </x:c>
      <x:c r="AC54" s="96" t="n">
        <x:v>1</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NOT_STARTED</x:v>
      </x:c>
      <x:c r="R55" s="14" t="str"/>
      <x:c r="S55" s="14" t="str"/>
      <x:c r="T55" s="94"/>
      <x:c r="U55" s="95"/>
      <x:c r="V55" s="95"/>
      <x:c r="W55" s="95"/>
      <x:c r="X55" s="95"/>
      <x:c r="Y55" s="101" t="n">
        <x:v>0</x:v>
      </x:c>
      <x:c r="Z55" s="95"/>
      <x:c r="AA55" s="95"/>
      <x:c r="AB55" s="95"/>
      <x:c r="AC55" s="96" t="n">
        <x:v>0</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DONE</x:v>
      </x:c>
      <x:c r="R58" s="14" t="str">
        <x:v>controller/ctrl-lis-2-b175230b/subagent-1</x:v>
      </x:c>
      <x:c r="S58" s="14" t="str"/>
      <x:c r="T58" s="94" t="str">
        <x:v>7bcc5a7a-68c3-4dba-8198-5dd9a741c740</x:v>
      </x:c>
      <x:c r="U58" s="95" t="str">
        <x:v>2026-06-20T19:04:57Z</x:v>
      </x:c>
      <x:c r="V58" s="95" t="str">
        <x:v>2026-06-20T19:30:29Z</x:v>
      </x:c>
      <x:c r="W58" s="95"/>
      <x:c r="X58" s="95" t="str">
        <x:v>2026-06-20T19:30:29Z</x:v>
      </x:c>
      <x:c r="Y58" s="101" t="n">
        <x:v>100</x:v>
      </x:c>
      <x:c r="Z58" s="95" t="str">
        <x:v>Implementation PR #645 merged; marking DONE.</x:v>
      </x:c>
      <x:c r="AA58" s="95" t="str">
        <x:v>Implemented metadata-declared property extraction and validation for C++ V_META/V_PROPERTY declarations. The validator now parses property names, owning classes, serialized type tokens, V_META base-class links, inherited native property schemas, and ref override class resolution while leaving Python-registered classes schema-open.</x:v>
      </x:c>
      <x:c r="AB58" s="95" t="str">
        <x:v>Local focused validation: black -l 120 scripts/validate_content.py tests/test_content_validator.py PASS; python3 -m unittest tests.test_content_validator PASS (20 tests); python3 scripts/validate_content.py --repo-root . PASS; python3 -m py_compile scripts/validate_content.py tests/test_content_validator.py PASS; git diff --check PASS; post-update git diff --check origin/main...HEAD PASS. CI validation: python3 scripts/poll_pr_checks.py 645 --check linux PASS for PR head 4883140696a34fbf0038a5ad5e6d8fc6f695347f, build/linux SUCCESS at https://github.com/lisu188/fall-of-nouraajd/actions/runs/27881518641/job/82509819575. Implementation PR #645 merged at 2026-06-20T19:29:44Z as 1292282a0f37c317edd866d1e687a0f4a744eeee.</x:v>
      </x:c>
      <x:c r="AC58" s="96" t="n">
        <x:v>1</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NOT_STARTED</x:v>
      </x:c>
      <x:c r="R59" s="14" t="str"/>
      <x:c r="S59" s="14" t="str"/>
      <x:c r="T59" s="94"/>
      <x:c r="U59" s="95"/>
      <x:c r="V59" s="95"/>
      <x:c r="W59" s="95"/>
      <x:c r="X59" s="95"/>
      <x:c r="Y59" s="101" t="n">
        <x:v>0</x:v>
      </x:c>
      <x:c r="Z59" s="95"/>
      <x:c r="AA59" s="95"/>
      <x:c r="AB59" s="95"/>
      <x:c r="AC59" s="96" t="n">
        <x:v>0</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NOT_STARTED</x:v>
      </x:c>
      <x:c r="R60" s="14" t="str"/>
      <x:c r="S60" s="14" t="str"/>
      <x:c r="T60" s="94"/>
      <x:c r="U60" s="95"/>
      <x:c r="V60" s="95"/>
      <x:c r="W60" s="95"/>
      <x:c r="X60" s="95"/>
      <x:c r="Y60" s="101" t="n">
        <x:v>0</x:v>
      </x:c>
      <x:c r="Z60" s="95"/>
      <x:c r="AA60" s="95"/>
      <x:c r="AB60" s="95"/>
      <x:c r="AC60" s="96" t="n">
        <x:v>0</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NOT_STARTED</x:v>
      </x:c>
      <x:c r="R61" s="14" t="str"/>
      <x:c r="S61" s="14" t="str"/>
      <x:c r="T61" s="94"/>
      <x:c r="U61" s="95"/>
      <x:c r="V61" s="95"/>
      <x:c r="W61" s="95"/>
      <x:c r="X61" s="95"/>
      <x:c r="Y61" s="101" t="n">
        <x:v>0</x:v>
      </x:c>
      <x:c r="Z61" s="95"/>
      <x:c r="AA61" s="95"/>
      <x:c r="AB61" s="95"/>
      <x:c r="AC61" s="96" t="n">
        <x:v>0</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NOT_STARTED</x:v>
      </x:c>
      <x:c r="R62" s="14" t="str"/>
      <x:c r="S62" s="14" t="str"/>
      <x:c r="T62" s="94"/>
      <x:c r="U62" s="95"/>
      <x:c r="V62" s="95"/>
      <x:c r="W62" s="95"/>
      <x:c r="X62" s="95"/>
      <x:c r="Y62" s="101" t="n">
        <x:v>0</x:v>
      </x:c>
      <x:c r="Z62" s="95"/>
      <x:c r="AA62" s="95"/>
      <x:c r="AB62" s="95"/>
      <x:c r="AC62" s="96" t="n">
        <x:v>0</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NOT_STARTED</x:v>
      </x:c>
      <x:c r="R63" s="14" t="str"/>
      <x:c r="S63" s="14" t="str"/>
      <x:c r="T63" s="94"/>
      <x:c r="U63" s="95"/>
      <x:c r="V63" s="95"/>
      <x:c r="W63" s="95"/>
      <x:c r="X63" s="95"/>
      <x:c r="Y63" s="101" t="n">
        <x:v>0</x:v>
      </x:c>
      <x:c r="Z63" s="95"/>
      <x:c r="AA63" s="95"/>
      <x:c r="AB63" s="95"/>
      <x:c r="AC63" s="96" t="n">
        <x:v>0</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NOT_STARTED</x:v>
      </x:c>
      <x:c r="R64" s="14" t="str"/>
      <x:c r="S64" s="14" t="str"/>
      <x:c r="T64" s="94"/>
      <x:c r="U64" s="95"/>
      <x:c r="V64" s="95"/>
      <x:c r="W64" s="95"/>
      <x:c r="X64" s="95"/>
      <x:c r="Y64" s="101" t="n">
        <x:v>0</x:v>
      </x:c>
      <x:c r="Z64" s="95"/>
      <x:c r="AA64" s="95"/>
      <x:c r="AB64" s="95"/>
      <x:c r="AC64" s="96" t="n">
        <x:v>0</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NOT_STARTED</x:v>
      </x:c>
      <x:c r="R65" s="14" t="str"/>
      <x:c r="S65" s="14" t="str"/>
      <x:c r="T65" s="94"/>
      <x:c r="U65" s="95"/>
      <x:c r="V65" s="95"/>
      <x:c r="W65" s="95"/>
      <x:c r="X65" s="95"/>
      <x:c r="Y65" s="101" t="n">
        <x:v>0</x:v>
      </x:c>
      <x:c r="Z65" s="95"/>
      <x:c r="AA65" s="95"/>
      <x:c r="AB65" s="95"/>
      <x:c r="AC65" s="96" t="n">
        <x:v>0</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DONE</x:v>
      </x:c>
      <x:c r="R71" s="14" t="str">
        <x:v>controller/ctrl-lis-2-cfec0831/subagent-1</x:v>
      </x:c>
      <x:c r="S71" s="14" t="str"/>
      <x:c r="T71" s="94" t="str">
        <x:v>8a502bd0-1c10-4676-a1a5-1617ce47e99f</x:v>
      </x:c>
      <x:c r="U71" s="95" t="str">
        <x:v>2026-06-20T14:35:00Z</x:v>
      </x:c>
      <x:c r="V71" s="95" t="str">
        <x:v>2026-06-20T19:52:04Z</x:v>
      </x:c>
      <x:c r="W71" s="95"/>
      <x:c r="X71" s="95" t="str">
        <x:v>2026-06-20T19:52:04Z</x:v>
      </x:c>
      <x:c r="Y71" s="101" t="n">
        <x:v>100</x:v>
      </x:c>
      <x:c r="Z71" s="95" t="str">
        <x:v>Completed</x:v>
      </x:c>
      <x:c r="AA71" s="95" t="str">
        <x:v>Implementation PR #596 merged at 2026-06-20T16:00:05Z as adb23c3e15adba58894be808c49d2d82530d6b46. Added immutable save compatibility fixtures and SaveFixtureTest coverage for legacy, schema v1, backup recovery, campaign, ritual, siege, and runtime quest actor save cases.</x:v>
      </x:c>
      <x:c r="AB71" s="95" t="str">
        <x:v>Implementation PR #596 reported focused local validation: GAME_TEST_OUTPUT_DIR=/tmp/fon-save-fixture-controller-review GAME_TEST_TIMINGS_FILE=/tmp/fon-save-fixture-controller-review/test-timings.json python3 test.py --suite fast SaveFixtureTest.test_immutable_save_fixture_summaries_match_expected; GAME_TEST_OUTPUT_DIR=/tmp/fon-save-fixture-controller-review-postrebase GAME_TEST_TIMINGS_FILE=/tmp/fon-save-fixture-controller-review-postrebase/test-timings.json python3 test.py --suite fast SaveFixtureTest.test_immutable_save_fixture_summaries_match_expected; black -l 120 --check test.py; git diff --check; git diff --check origin/main...HEAD; fixture JSON parse check excluding intentionally invalid primary backup fixture. Native save/load acceptance was deferred to GitHub Actions per queue policy.</x:v>
      </x:c>
      <x:c r="AC71" s="96" t="n">
        <x:v>2</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IN_PROGRESS</x:v>
      </x:c>
      <x:c r="R72" s="14" t="str">
        <x:v>controller/ctrl-lis-2-b17e29a3/subagent-4</x:v>
      </x:c>
      <x:c r="S72" s="14" t="str"/>
      <x:c r="T72" s="94" t="str">
        <x:v>ff12f13a-b950-4084-b68e-3d32bdaffebb</x:v>
      </x:c>
      <x:c r="U72" s="95" t="str">
        <x:v>2026-06-20T20:08:51Z</x:v>
      </x:c>
      <x:c r="V72" s="95" t="str">
        <x:v>2026-06-20T20:08:51Z</x:v>
      </x:c>
      <x:c r="W72" s="95" t="str">
        <x:v>2026-06-21T20:08:51Z</x:v>
      </x:c>
      <x:c r="X72" s="95"/>
      <x:c r="Y72" s="101" t="n">
        <x:v>0</x:v>
      </x:c>
      <x:c r="Z72" s="95" t="str">
        <x:v>Claimed by controller/ctrl-lis-2-b17e29a3/subagent-4</x:v>
      </x:c>
      <x:c r="AA72" s="95"/>
      <x:c r="AB72" s="95"/>
      <x:c r="AC72" s="96" t="n">
        <x:v>1</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NOT_STARTED</x:v>
      </x:c>
      <x:c r="R73" s="14" t="str"/>
      <x:c r="S73" s="14" t="str"/>
      <x:c r="T73" s="94"/>
      <x:c r="U73" s="95"/>
      <x:c r="V73" s="95"/>
      <x:c r="W73" s="95"/>
      <x:c r="X73" s="95"/>
      <x:c r="Y73" s="101" t="n">
        <x:v>0</x:v>
      </x:c>
      <x:c r="Z73" s="95"/>
      <x:c r="AA73" s="95"/>
      <x:c r="AB73" s="95"/>
      <x:c r="AC73" s="96" t="n">
        <x:v>0</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NOT_STARTED</x:v>
      </x:c>
      <x:c r="R74" s="14" t="str"/>
      <x:c r="S74" s="14" t="str"/>
      <x:c r="T74" s="94"/>
      <x:c r="U74" s="95"/>
      <x:c r="V74" s="95"/>
      <x:c r="W74" s="95"/>
      <x:c r="X74" s="95"/>
      <x:c r="Y74" s="101" t="n">
        <x:v>0</x:v>
      </x:c>
      <x:c r="Z74" s="95"/>
      <x:c r="AA74" s="95"/>
      <x:c r="AB74" s="95"/>
      <x:c r="AC74" s="96" t="n">
        <x:v>0</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DONE</x:v>
      </x:c>
      <x:c r="R77" s="14" t="str">
        <x:v>controller/ctrl-lis-2-4bbbdd22/subagent-4</x:v>
      </x:c>
      <x:c r="S77" s="14" t="str"/>
      <x:c r="T77" s="94" t="str">
        <x:v>1adbc29a-5bc4-4a17-a02a-e24165d982b8</x:v>
      </x:c>
      <x:c r="U77" s="95" t="str">
        <x:v>2026-06-19T20:43:35Z</x:v>
      </x:c>
      <x:c r="V77" s="95" t="str">
        <x:v>2026-06-20T14:15:31Z</x:v>
      </x:c>
      <x:c r="W77" s="95"/>
      <x:c r="X77" s="95" t="str">
        <x:v>2026-06-20T14:15:31Z</x:v>
      </x:c>
      <x:c r="Y77" s="101" t="n">
        <x:v>100</x:v>
      </x:c>
      <x:c r="Z77" s="95" t="str">
        <x:v>Completed</x:v>
      </x:c>
      <x:c r="AA77" s="95" t="str">
        <x:v>Added CMap navigation APIs for cardinal and registered directed-edge neighbors, exposed the helpers through Python bindings, and added native plus Python regression coverage for blocked cardinal and directed-edge behavior.</x:v>
      </x:c>
      <x:c r="AB77" s="95" t="str">
        <x:v>Local checks reported in PR #559: git diff --check origin/main...HEAD; workbook diff clean; python3 -m py_compile test.py; black --check -l 120 test.py; clang-format --dry-run --Werror on changed C++ files. Local native builds, ctest, full Python suite, and coverage were skipped by queue policy. CI: PR #559 build/linux passed for merge commit d168bed2 and Windows passed; PR merged at 2026-06-20T14:09:54Z. The separate linux-coverage job completed FAILURE after merge, so no coverage pass is claimed here.</x:v>
      </x:c>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DONE</x:v>
      </x:c>
      <x:c r="R78" s="14" t="str">
        <x:v>controller/ctrl-lis-2-c846fc79/subagent-1</x:v>
      </x:c>
      <x:c r="S78" s="14" t="str"/>
      <x:c r="T78" s="94" t="str">
        <x:v>dd363cdc-a033-4305-894b-5f00c6a8e15b</x:v>
      </x:c>
      <x:c r="U78" s="95" t="str">
        <x:v>2026-06-20T14:38:54Z</x:v>
      </x:c>
      <x:c r="V78" s="95" t="str">
        <x:v>2026-06-20T16:04:26Z</x:v>
      </x:c>
      <x:c r="W78" s="95"/>
      <x:c r="X78" s="95" t="str">
        <x:v>2026-06-20T16:04:26Z</x:v>
      </x:c>
      <x:c r="Y78" s="101" t="n">
        <x:v>100</x:v>
      </x:c>
      <x:c r="Z78" s="95" t="str">
        <x:v>Completed</x:v>
      </x:c>
      <x:c r="AA78" s="95" t="str">
        <x:v>PR #597 registered map navigation edges for Teleporter, GroundHole, and LevelStairs while preserving legacy waypoint/x/y/z compatibility. It added CMap.hasNavigationEdge and CMap.getNavigationRevision bindings plus regressions for navigation-neighbor publication and stable waypoint edge refresh. The implementation PR was squash-merged into main as 28f33e7a on 2026-06-20.</x:v>
      </x:c>
      <x:c r="AB78" s="95" t="str">
        <x:v>Local validation: black -l 120 --check res/plugins/object.py res/maps/multilevel/script.py test.py; python3 -m py_compile test.py res/plugins/object.py res/maps/multilevel/script.py; clang-format -i src/core/CModule.cpp tests/unit/test_core.cpp; git diff --check. Focused runtime tests were attempted locally but blocked by the isolated worktree missing a compiled _game module. CI validation: python3 scripts/poll_pr_checks.py 597 --check linux --require-step coverage observed build / linux succeed for head fbebc405 at 2026-06-20T15:59:31Z; GitHub then reported PR #597 already merged at 2026-06-20T15:59:53Z with merge commit 28f33e7a while linux-coverage/windows were still in progress, so the controller stopped waiting and verified the squash merge on origin/main.</x:v>
      </x:c>
      <x:c r="AC78" s="96" t="n">
        <x:v>1</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DONE</x:v>
      </x:c>
      <x:c r="R79" s="14" t="str">
        <x:v>controller/ctrl-lis-2-b175230b/subagent-2</x:v>
      </x:c>
      <x:c r="S79" s="14" t="str"/>
      <x:c r="T79" s="94" t="str">
        <x:v>cb682a74-4b2b-4ce0-abac-2f790a32a42c</x:v>
      </x:c>
      <x:c r="U79" s="95" t="str">
        <x:v>2026-06-20T19:08:54Z</x:v>
      </x:c>
      <x:c r="V79" s="95" t="str">
        <x:v>2026-06-20T20:50:16Z</x:v>
      </x:c>
      <x:c r="W79" s="95"/>
      <x:c r="X79" s="95" t="str">
        <x:v>2026-06-20T20:50:16Z</x:v>
      </x:c>
      <x:c r="Y79" s="101" t="n">
        <x:v>100</x:v>
      </x:c>
      <x:c r="Z79" s="95" t="str">
        <x:v>Completed</x:v>
      </x:c>
      <x:c r="AA79" s="95" t="str">
        <x:v>Implementation PR #648 merged at 0263cc3d89dea3130a7fbe81f04904349bb8770e.</x:v>
      </x:c>
      <x:c r="AB79" s="95" t="str">
        <x:v>CI build/linux and linux-coverage coverage steps passed for PR #648; implementation merged via squash.</x:v>
      </x:c>
      <x:c r="AC79" s="96" t="n">
        <x:v>1</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IN_PROGRESS</x:v>
      </x:c>
      <x:c r="R80" s="14" t="str">
        <x:v>controller/ctrl-lis-2-b175230b/subagent-2</x:v>
      </x:c>
      <x:c r="S80" s="14" t="str"/>
      <x:c r="T80" s="94" t="str">
        <x:v>f1fbf36c-73c7-4685-80ef-4fecd3e94d7d</x:v>
      </x:c>
      <x:c r="U80" s="95" t="str">
        <x:v>2026-06-21T04:08:42Z</x:v>
      </x:c>
      <x:c r="V80" s="95" t="str">
        <x:v>2026-06-21T04:08:42Z</x:v>
      </x:c>
      <x:c r="W80" s="95" t="str">
        <x:v>2026-06-21T06:08:42Z</x:v>
      </x:c>
      <x:c r="X80" s="95"/>
      <x:c r="Y80" s="101" t="n">
        <x:v>0</x:v>
      </x:c>
      <x:c r="Z80" s="95" t="str">
        <x:v>Claimed by controller/ctrl-lis-2-b175230b/subagent-2</x:v>
      </x:c>
      <x:c r="AA80" s="95"/>
      <x:c r="AB80" s="95"/>
      <x:c r="AC80" s="96" t="n">
        <x:v>1</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NOT_STARTED</x:v>
      </x:c>
      <x:c r="R81" s="14" t="str"/>
      <x:c r="S81" s="14" t="str"/>
      <x:c r="T81" s="94"/>
      <x:c r="U81" s="95"/>
      <x:c r="V81" s="95"/>
      <x:c r="W81" s="95"/>
      <x:c r="X81" s="95"/>
      <x:c r="Y81" s="101" t="n">
        <x:v>0</x:v>
      </x:c>
      <x:c r="Z81" s="95"/>
      <x:c r="AA81" s="95"/>
      <x:c r="AB81" s="95"/>
      <x:c r="AC81" s="96" t="n">
        <x:v>0</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DONE</x:v>
      </x:c>
      <x:c r="R82" s="14" t="str">
        <x:v>controller/ctrl-lis-2-b175230b/subagent-3</x:v>
      </x:c>
      <x:c r="S82" s="14" t="str"/>
      <x:c r="T82" s="94" t="str">
        <x:v>140d3022-619d-4721-99a0-7cdd8db20cc2</x:v>
      </x:c>
      <x:c r="U82" s="95" t="str">
        <x:v>2026-06-20T19:13:38Z</x:v>
      </x:c>
      <x:c r="V82" s="95" t="str">
        <x:v>2026-06-20T20:43:07Z</x:v>
      </x:c>
      <x:c r="W82" s="95"/>
      <x:c r="X82" s="95" t="str">
        <x:v>2026-06-20T20:43:07Z</x:v>
      </x:c>
      <x:c r="Y82" s="101" t="n">
        <x:v>100</x:v>
      </x:c>
      <x:c r="Z82" s="95" t="str">
        <x:v>Completed after PR #651 merged.</x:v>
      </x:c>
      <x:c r="AA82" s="95" t="str">
        <x:v>Implementation PR #651 merged at 16c3fc55bfd1f0cc0ad4039eea65e35587489518.</x:v>
      </x:c>
      <x:c r="AB82" s="95" t="str">
        <x:v>Local: git diff --check origin/main...HEAD. CI: PR #651 build/linux succeeded after rebase onto repaired main.</x:v>
      </x:c>
      <x:c r="AC82" s="96" t="n">
        <x:v>1</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NOT_STARTED</x:v>
      </x:c>
      <x:c r="R83" s="14" t="str"/>
      <x:c r="S83" s="14" t="str"/>
      <x:c r="T83" s="94"/>
      <x:c r="U83" s="95"/>
      <x:c r="V83" s="95"/>
      <x:c r="W83" s="95"/>
      <x:c r="X83" s="95"/>
      <x:c r="Y83" s="101" t="n">
        <x:v>0</x:v>
      </x:c>
      <x:c r="Z83" s="95"/>
      <x:c r="AA83" s="95"/>
      <x:c r="AB83" s="95"/>
      <x:c r="AC83" s="96" t="n">
        <x:v>0</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NOT_STARTED</x:v>
      </x:c>
      <x:c r="R84" s="14" t="str"/>
      <x:c r="S84" s="14" t="str"/>
      <x:c r="T84" s="94"/>
      <x:c r="U84" s="95"/>
      <x:c r="V84" s="95"/>
      <x:c r="W84" s="95"/>
      <x:c r="X84" s="95"/>
      <x:c r="Y84" s="101" t="n">
        <x:v>0</x:v>
      </x:c>
      <x:c r="Z84" s="95"/>
      <x:c r="AA84" s="95"/>
      <x:c r="AB84" s="95"/>
      <x:c r="AC84" s="96" t="n">
        <x:v>0</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NOT_STARTED</x:v>
      </x:c>
      <x:c r="R85" s="14" t="str"/>
      <x:c r="S85" s="14" t="str"/>
      <x:c r="T85" s="94"/>
      <x:c r="U85" s="95"/>
      <x:c r="V85" s="95"/>
      <x:c r="W85" s="95"/>
      <x:c r="X85" s="95"/>
      <x:c r="Y85" s="101" t="n">
        <x:v>0</x:v>
      </x:c>
      <x:c r="Z85" s="95"/>
      <x:c r="AA85" s="95"/>
      <x:c r="AB85" s="95"/>
      <x:c r="AC85" s="96" t="n">
        <x:v>0</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DONE</x:v>
      </x:c>
      <x:c r="R93" s="14" t="str">
        <x:v>controller/ctrl-lis-2-9b3984de/subagent-5</x:v>
      </x:c>
      <x:c r="S93" s="14" t="str"/>
      <x:c r="T93" s="94" t="str">
        <x:v>6cac35ba-f083-46a0-b009-e8ca03a9b3a7</x:v>
      </x:c>
      <x:c r="U93" s="95" t="str">
        <x:v>2026-06-19T16:24:16Z</x:v>
      </x:c>
      <x:c r="V93" s="95" t="str">
        <x:v>2026-06-20T14:12:05Z</x:v>
      </x:c>
      <x:c r="W93" s="95"/>
      <x:c r="X93" s="95" t="str">
        <x:v>2026-06-20T14:12:05Z</x:v>
      </x:c>
      <x:c r="Y93" s="101" t="n">
        <x:v>100</x:v>
      </x:c>
      <x:c r="Z93" s="95" t="str">
        <x:v>Completed</x:v>
      </x:c>
      <x:c r="AA93" s="95" t="str">
        <x:v>Added a CGui-owned drag session with pointer capture, capture cleanup, CListView drag/drop integration, Python exposure for drag/capture state, and native plus Xvfb-oriented regression coverage.</x:v>
      </x:c>
      <x:c r="AB93" s="95" t="str">
        <x:v>Local focused checks after final rebase: git diff --check origin/main...HEAD; python3 -m py_compile test.py; git diff --quiet origin/main...HEAD -- planning/fall_of_nouraajd_issue_proposals.xlsx. Worker local checks included clang-format, black, cmake --build cmake-build-release --target _game for_unit_tests -j8, and ctest -R gui_unit_tests. PR #531 merged at 2026-06-20T14:10:07Z with merge commit e038b2db; fresh CI polling for linux and linux-coverage was stopped per workflow because the PR was already merged.</x:v>
      </x:c>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IN_PROGRESS</x:v>
      </x:c>
      <x:c r="R94" s="14" t="str">
        <x:v>controller/ctrl-lis-2-b175230b/subagent-1</x:v>
      </x:c>
      <x:c r="S94" s="14" t="str"/>
      <x:c r="T94" s="94" t="str">
        <x:v>3642f705-72e3-466d-a030-6ced630771dc</x:v>
      </x:c>
      <x:c r="U94" s="95" t="str">
        <x:v>2026-06-20T20:52:09Z</x:v>
      </x:c>
      <x:c r="V94" s="95" t="str">
        <x:v>2026-06-21T04:07:54Z</x:v>
      </x:c>
      <x:c r="W94" s="95" t="str">
        <x:v>2026-06-21T12:07:54Z</x:v>
      </x:c>
      <x:c r="X94" s="95"/>
      <x:c r="Y94" s="101" t="n">
        <x:v>5</x:v>
      </x:c>
      <x:c r="Z94" s="95" t="str">
        <x:v>Worker agent hit usage limit before edits; controller verified worktree state and is taking over implementation with structured status.</x:v>
      </x:c>
      <x:c r="AA94" s="95"/>
      <x:c r="AB94" s="95"/>
      <x:c r="AC94" s="96" t="n">
        <x:v>1</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NOT_STARTED</x:v>
      </x:c>
      <x:c r="R95" s="14" t="str"/>
      <x:c r="S95" s="14" t="str"/>
      <x:c r="T95" s="94"/>
      <x:c r="U95" s="95"/>
      <x:c r="V95" s="95"/>
      <x:c r="W95" s="95"/>
      <x:c r="X95" s="95"/>
      <x:c r="Y95" s="101" t="n">
        <x:v>0</x:v>
      </x:c>
      <x:c r="Z95" s="95"/>
      <x:c r="AA95" s="95"/>
      <x:c r="AB95" s="95"/>
      <x:c r="AC95" s="96" t="n">
        <x:v>0</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DONE</x:v>
      </x:c>
      <x:c r="R96" s="14" t="str">
        <x:v>controller/ctrl-lis-2-cfec0831/subagent-2</x:v>
      </x:c>
      <x:c r="S96" s="14" t="str"/>
      <x:c r="T96" s="94" t="str">
        <x:v>9c2b2298-76ac-4567-968f-4c88569ad6a7</x:v>
      </x:c>
      <x:c r="U96" s="95" t="str">
        <x:v>2026-06-20T14:42:30Z</x:v>
      </x:c>
      <x:c r="V96" s="95" t="str">
        <x:v>2026-06-20T20:05:16Z</x:v>
      </x:c>
      <x:c r="W96" s="95"/>
      <x:c r="X96" s="95" t="str">
        <x:v>2026-06-20T20:05:16Z</x:v>
      </x:c>
      <x:c r="Y96" s="101" t="n">
        <x:v>100</x:v>
      </x:c>
      <x:c r="Z96" s="95" t="str">
        <x:v>Completed</x:v>
      </x:c>
      <x:c r="AA96" s="95" t="str">
        <x:v>Implemented drag proxy rendering through the GUI tree in merged PR #598, adding a high-priority proxy during drag sessions and lifecycle cleanup on commit, cancel, or clear.</x:v>
      </x:c>
      <x:c r="AB96" s="95" t="str">
        <x:v>Merged implementation PR #598 at 2026-06-20T15:59:42Z (merge commit 3e6b69d7). Worker local checks reported: git diff --check; git diff --check origin/main...HEAD; clang-format -i src/gui/CGui.h src/gui/CGui.cpp tests/unit/test_gui_drag_proxy.cpp; clang-format --dry-run --Werror src/gui/CGui.h src/gui/CGui.cpp tests/unit/test_gui_drag_proxy.cpp. GitHub Actions run 27874819890 for PR head db97187d: linux-fast SUCCESS, windows-deps SUCCESS, linux FAILURE, linux-coverage FAILURE, windows FAILURE; failures are tracked by follow-up GUI native crash repair PR #611 / branch controller/ctrl-lis-2-cfec0831-repair-drag-proxy-segfault.</x:v>
      </x:c>
      <x:c r="AC96" s="96" t="n">
        <x:v>1</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IN_PROGRESS</x:v>
      </x:c>
      <x:c r="R97" s="14" t="str">
        <x:v>controller/ctrl-lis-2-b175230b/subagent-4</x:v>
      </x:c>
      <x:c r="S97" s="14" t="str"/>
      <x:c r="T97" s="94" t="str">
        <x:v>8830cb80-9a29-4ae7-addd-3647aa7deb9d</x:v>
      </x:c>
      <x:c r="U97" s="95" t="str">
        <x:v>2026-06-21T04:09:57Z</x:v>
      </x:c>
      <x:c r="V97" s="95" t="str">
        <x:v>2026-06-21T04:09:57Z</x:v>
      </x:c>
      <x:c r="W97" s="95" t="str">
        <x:v>2026-06-21T06:09:57Z</x:v>
      </x:c>
      <x:c r="X97" s="95"/>
      <x:c r="Y97" s="101" t="n">
        <x:v>0</x:v>
      </x:c>
      <x:c r="Z97" s="95" t="str">
        <x:v>Claimed by controller/ctrl-lis-2-b175230b/subagent-4</x:v>
      </x:c>
      <x:c r="AA97" s="95"/>
      <x:c r="AB97" s="95"/>
      <x:c r="AC97" s="96" t="n">
        <x:v>1</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NOT_STARTED</x:v>
      </x:c>
      <x:c r="R98" s="14" t="str"/>
      <x:c r="S98" s="14" t="str"/>
      <x:c r="T98" s="94"/>
      <x:c r="U98" s="95"/>
      <x:c r="V98" s="95"/>
      <x:c r="W98" s="95"/>
      <x:c r="X98" s="95"/>
      <x:c r="Y98" s="101" t="n">
        <x:v>0</x:v>
      </x:c>
      <x:c r="Z98" s="95"/>
      <x:c r="AA98" s="95"/>
      <x:c r="AB98" s="95"/>
      <x:c r="AC98" s="96" t="n">
        <x:v>0</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NOT_STARTED</x:v>
      </x:c>
      <x:c r="R99" s="14" t="str"/>
      <x:c r="S99" s="14" t="str"/>
      <x:c r="T99" s="94"/>
      <x:c r="U99" s="95"/>
      <x:c r="V99" s="95"/>
      <x:c r="W99" s="95"/>
      <x:c r="X99" s="95"/>
      <x:c r="Y99" s="101" t="n">
        <x:v>0</x:v>
      </x:c>
      <x:c r="Z99" s="95"/>
      <x:c r="AA99" s="95"/>
      <x:c r="AB99" s="95"/>
      <x:c r="AC99" s="96" t="n">
        <x:v>0</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NOT_STARTED</x:v>
      </x:c>
      <x:c r="R103" s="14" t="str"/>
      <x:c r="S103" s="14" t="str"/>
      <x:c r="T103" s="94"/>
      <x:c r="U103" s="95"/>
      <x:c r="V103" s="95"/>
      <x:c r="W103" s="95"/>
      <x:c r="X103" s="95"/>
      <x:c r="Y103" s="101" t="n">
        <x:v>0</x:v>
      </x:c>
      <x:c r="Z103" s="95"/>
      <x:c r="AA103" s="95"/>
      <x:c r="AB103" s="95"/>
      <x:c r="AC103" s="96" t="n">
        <x:v>0</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t="str"/>
      <x:c r="S104" s="14" t="str"/>
      <x:c r="T104" s="94"/>
      <x:c r="U104" s="95"/>
      <x:c r="V104" s="95"/>
      <x:c r="W104" s="95"/>
      <x:c r="X104" s="95"/>
      <x:c r="Y104" s="101" t="n">
        <x:v>0</x:v>
      </x:c>
      <x:c r="Z104" s="95"/>
      <x:c r="AA104" s="95"/>
      <x:c r="AB104" s="95"/>
      <x:c r="AC104" s="96" t="n">
        <x:v>0</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DONE</x:v>
      </x:c>
      <x:c r="R107" s="14" t="str">
        <x:v>controller/ctrl-lis-2-4bbbdd22/subagent-7</x:v>
      </x:c>
      <x:c r="S107" s="14" t="str"/>
      <x:c r="T107" s="94" t="str">
        <x:v>a5e72ff6-a936-4079-852b-c1e6665d0306</x:v>
      </x:c>
      <x:c r="U107" s="95" t="str">
        <x:v>2026-06-19T21:59:31Z</x:v>
      </x:c>
      <x:c r="V107" s="95" t="str">
        <x:v>2026-06-20T19:55:45Z</x:v>
      </x:c>
      <x:c r="W107" s="95"/>
      <x:c r="X107" s="95" t="str">
        <x:v>2026-06-20T19:55:45Z</x:v>
      </x:c>
      <x:c r="Y107" s="101" t="n">
        <x:v>100</x:v>
      </x:c>
      <x:c r="Z107" s="95" t="str">
        <x:v>Completed</x:v>
      </x:c>
      <x:c r="AA107" s="95" t="str">
        <x:v>Implementation PR #564 merged at 2026-06-20T16:00:24Z as eb2e77f38d461175a25489240277518f747b0c24. Added CListView refresh subscriptions for property notifications, reconnect handling when refresh targets change, exact signal/slot disconnect support, and focused GUI unit coverage.</x:v>
      </x:c>
      <x:c r="AB107" s="95" t="str">
        <x:v>Implementation PR #564 reported focused local validation: git diff --check origin/main...HEAD; git diff --exit-code -- planning/fall_of_nouraajd_issue_proposals.xlsx; clang-format --dry-run --Werror src/gui/panel/CListView.cpp src/gui/panel/CListView.h src/object/CGameObject.cpp src/object/CGameObject.h tests/unit/test_gui.cpp. Local native builds, ctest, full Python suite, and local coverage were skipped per queue-controller policy; CI rollup for merged PR had failures in broader native lanes, so this terminal publication records the merge and reported validation evidence only.</x:v>
      </x:c>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NOT_STARTED</x:v>
      </x:c>
      <x:c r="R108" s="14" t="str"/>
      <x:c r="S108" s="14" t="str"/>
      <x:c r="T108" s="94"/>
      <x:c r="U108" s="95"/>
      <x:c r="V108" s="95"/>
      <x:c r="W108" s="95"/>
      <x:c r="X108" s="95"/>
      <x:c r="Y108" s="101" t="n">
        <x:v>0</x:v>
      </x:c>
      <x:c r="Z108" s="95"/>
      <x:c r="AA108" s="95"/>
      <x:c r="AB108" s="95"/>
      <x:c r="AC108" s="96" t="n">
        <x:v>0</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NOT_STARTED</x:v>
      </x:c>
      <x:c r="R116" s="14" t="str"/>
      <x:c r="S116" s="14" t="str"/>
      <x:c r="T116" s="94"/>
      <x:c r="U116" s="95"/>
      <x:c r="V116" s="95"/>
      <x:c r="W116" s="95"/>
      <x:c r="X116" s="95"/>
      <x:c r="Y116" s="101" t="n">
        <x:v>0</x:v>
      </x:c>
      <x:c r="Z116" s="95"/>
      <x:c r="AA116" s="95"/>
      <x:c r="AB116" s="95"/>
      <x:c r="AC116" s="96" t="n">
        <x:v>0</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IN_PROGRESS</x:v>
      </x:c>
      <x:c r="R128" s="14" t="str">
        <x:v>controller/ctrl-lis-2-4bbbdd22/subagent-9</x:v>
      </x:c>
      <x:c r="S128" s="14" t="str"/>
      <x:c r="T128" s="94" t="str">
        <x:v>d2776e2b-b34b-4426-91a0-d6b1b4bf11c9</x:v>
      </x:c>
      <x:c r="U128" s="95" t="str">
        <x:v>2026-06-19T22:27:46Z</x:v>
      </x:c>
      <x:c r="V128" s="95" t="str">
        <x:v>2026-06-20T14:04:30Z</x:v>
      </x:c>
      <x:c r="W128" s="95" t="str">
        <x:v>2026-06-21T14:04:30Z</x:v>
      </x:c>
      <x:c r="X128" s="95"/>
      <x:c r="Y128" s="101" t="n">
        <x:v>70</x:v>
      </x:c>
      <x:c r="Z128" s="95" t="str">
        <x:v>Worker implementation complete; controller review and PR delivery pending.</x:v>
      </x:c>
      <x:c r="AA128" s="95"/>
      <x:c r="AB128" s="95"/>
      <x:c r="AC128" s="96" t="n">
        <x:v>1</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Extend scripts/validate_content.py with a source-only property hygiene pass after ScriptAnalyzer has populated ScriptInfo.property_reads, property_writes, legacy_bool_flags, quest_states, named_objects, and quest_grants. Implement a focused helper such as _validate_script_property_hygiene(context) that normalizes accesses by (owner, property_name), using the existing ScriptPropertyAccess.location for exact diagnostics. Check map/player properties separately so map flags such as OCTOBOGZ_CLEARED do not mask player flags such as inspected_stained_glass. Classify: read-without-write/default, write-without-read, owner collision, legacy bool flag with no QuestSystem mapping, and unknown receiver requiring manual review. Add a small allowlist for intentionally external or compatibility flags, scoped by path + property + reason. Keep the validator prebuild: do not import game or _game.</x:v>
      </x:c>
      <x:c r="N129" s="14" t="str">
        <x:v>Given a fixture script with player.getBoolProperty("has_relic") but no default/write, validation reports a read-without-initialization issue with file, class.method, and property name.
Given a fixture script with map.setBoolProperty("STALE_FLAG", True) and no read, validation reports a write-only property unless it is allowlisted with a reason.
Given a LegacyBoolFlag that refers to an unknown QUEST_KEYS entry, validation fails.
Given the current repository, validate_repo(REPO_ROOT) still passes or reports only deliberately surfaced, reviewed hygiene findings.
All criteria are observable, binary pass/fail, and include exact file/path diagnostics.</x:v>
      </x:c>
      <x:c r="O129" s="14" t="str">
        <x:v>python3 -m unittest tests.test_content_validator
python3 scripts/validate_content.py --repo-root .
Add tests for: stale map flag, stale player flag, read without default, map/player owner collision, valid LegacyBoolFlag synchronization, and allowlisted compatibility flag.
Use Given/When/Then-style assertion names in test methods or test comments so each expected diagnostic is tied to a concrete source fixture.</x:v>
      </x:c>
      <x:c r="P129" s="14" t="str">
        <x:v>https://github.com/lisu188/fall-of-nouraajd/blob/main/scripts/validate_content.py
https://github.com/lisu188/fall-of-nouraajd/blob/main/tests/test_content_validator.py
https://github.com/lisu188/fall-of-nouraajd/blob/main/res/maps/nouraajd/script.py
https://scrumguides.org/scrum-guide.html
https://www.atlassian.com/agile/scrum/backlog-refinement
https://agilealliance.org/glossary/backlog-refinement/
https://cucumber.io/docs/gherkin/reference/</x:v>
      </x:c>
      <x:c r="Q129" s="14" t="str">
        <x:v>DONE</x:v>
      </x:c>
      <x:c r="R129" s="14" t="str">
        <x:v>controller/ctrl-lis-2-b175230b/subagent-5</x:v>
      </x:c>
      <x:c r="S129" s="14" t="str"/>
      <x:c r="T129" s="94" t="str">
        <x:v>c781bd82-94dd-4fd6-b2a6-8598e82d0305</x:v>
      </x:c>
      <x:c r="U129" s="95" t="str">
        <x:v>2026-06-20T19:32:26Z</x:v>
      </x:c>
      <x:c r="V129" s="95" t="str">
        <x:v>2026-06-20T20:41:01Z</x:v>
      </x:c>
      <x:c r="W129" s="95"/>
      <x:c r="X129" s="95" t="str">
        <x:v>2026-06-20T20:41:01Z</x:v>
      </x:c>
      <x:c r="Y129" s="101" t="n">
        <x:v>100</x:v>
      </x:c>
      <x:c r="Z129" s="95" t="str">
        <x:v>Completed after PR #655 merged.</x:v>
      </x:c>
      <x:c r="AA129" s="95" t="str">
        <x:v>Implementation PR #655 merged at 78eed58aace1c79644c7482c3d78d3da97071837.</x:v>
      </x:c>
      <x:c r="AB129" s="95" t="str">
        <x:v>Local: black -l 120 scripts/validate_content.py tests/test_content_validator.py; python3 -m unittest tests.test_content_validator; python3 scripts/validate_content.py --repo-root .; python3 -m py_compile scripts/validate_content.py tests/test_content_validator.py; git diff --check origin/main...HEAD. CI: PR #655 build/linux succeeded after rebase onto repaired main.</x:v>
      </x:c>
      <x:c r="AC129" s="96" t="n">
        <x:v>1</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Wire quest-state validation into the normal scripts/validate_content.py validation path, not into a later runtime-only test. Keep it inside ContentValidator.validate() / _validate_map_context(context) so it runs after map config, dialog JSON, map.json, and script.py are loaded. Ensure failures are emitted as ValidationIssue(path, location, message) with stable messages for CI and tests. Do not import _game. Update docs/testing.md only if the documented command or expected prebuild gate changes. Keep current validators for dialog actions, trigger targets, refs, JSON, and classes intact; quest validation must be additive and backward-compatible.</x:v>
      </x:c>
      <x:c r="N130" s="14" t="str">
        <x:v>Given a fixture with QUEST_DEFAULTS containing an undeclared quest key, validation fails before any native build.
Given a fixture with _set_state("main", "missing_state") or a get_state comparison to an undeclared state, validation reports the exact method and state.
Given a fixture with _grant_quest("missingQuest"), validation reports an unknown quest id.
Given the current repository, python3 scripts/validate_content.py --repo-root . exits 0 after any intentional allowlists are documented.
Dashboard/CI documentation names the prebuild validator as the source of truth for these failures.</x:v>
      </x:c>
      <x:c r="O130" s="14" t="str">
        <x:v>python3 -m unittest tests.test_content_validator
python3 scripts/validate_content.py --repo-root .
Add focused fixture tests for missing default, unknown transition target, unknown terminal state, missing quest config, and valid Nouraajd QuestSystem state graph.
If CI workflow changes, run the same command path that .github/workflows/build.yml will execute.</x:v>
      </x:c>
      <x:c r="P130" s="14" t="str">
        <x:v>https://github.com/lisu188/fall-of-nouraajd/blob/main/scripts/validate_content.py
https://github.com/lisu188/fall-of-nouraajd/blob/main/tests/test_content_validator.py
https://github.com/lisu188/fall-of-nouraajd/blob/main/docs/testing.md
https://github.com/lisu188/fall-of-nouraajd/blob/main/.github/workflows/build.yml
https://scrumguides.org/scrum-guide.html
https://www.atlassian.com/agile/scrum/backlog-refinement
https://agilealliance.org/glossary/backlog-refinement/
https://cucumber.io/docs/gherkin/reference/</x:v>
      </x:c>
      <x:c r="Q130" s="14" t="str">
        <x:v>NOT_STARTED</x:v>
      </x:c>
      <x:c r="R130" s="14" t="str"/>
      <x:c r="S130" s="14" t="str"/>
      <x:c r="T130" s="94"/>
      <x:c r="U130" s="95"/>
      <x:c r="V130" s="95" t="n">
        <x:v>46193.762083333335</x:v>
      </x:c>
      <x:c r="W130" s="95"/>
      <x:c r="X130" s="95"/>
      <x:c r="Y130" s="101" t="n">
        <x:v>0</x:v>
      </x:c>
      <x:c r="Z130" s="95" t="str">
        <x:v>Groomed 2026-06-20T18:17:24Z: technical plan, acceptance criteria, validation/tests, and source URLs strengthened from repository source and online verification criteria best practices.</x:v>
      </x:c>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IN_PROGRESS</x:v>
      </x:c>
      <x:c r="R132" s="14" t="str">
        <x:v>controller/ctrl-lis-2-4bbbdd22/subagent-8</x:v>
      </x:c>
      <x:c r="S132" s="14" t="str"/>
      <x:c r="T132" s="94" t="str">
        <x:v>07936289-d944-4e81-a595-95d834159621</x:v>
      </x:c>
      <x:c r="U132" s="95" t="str">
        <x:v>2026-06-19T22:24:09Z</x:v>
      </x:c>
      <x:c r="V132" s="95" t="str">
        <x:v>2026-06-20T14:04:37Z</x:v>
      </x:c>
      <x:c r="W132" s="95" t="str">
        <x:v>2026-06-21T14:04:37Z</x:v>
      </x:c>
      <x:c r="X132" s="95"/>
      <x:c r="Y132" s="101" t="n">
        <x:v>70</x:v>
      </x:c>
      <x:c r="Z132" s="95" t="str">
        <x:v>Worker implementation complete; controller review and PR delivery pending.</x:v>
      </x:c>
      <x:c r="AA132" s="95"/>
      <x:c r="AB132" s="95"/>
      <x:c r="AC132" s="96" t="n">
        <x:v>1</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Introduce small idempotent cleanup helpers either in res/game.py or locally in res/maps/nouraajd/script.py if reuse is not justified. The helper should support exact object names and reviewed prefixes, e.g. remove_runtime_actors(game_map, names=("cultLeaderQuest", "amuletGoblin", "oldWoman"), prefixes=("victorCultist",)). Use it to replace duplicated cleanup logic around _clear_victor_encounter(), CultLeaderQuestTrigger.trigger(), OldWomanTrigger.trigger(), and QuestReturnDialog.complete_amulet_quest(). Preserve current public object names and trigger targets. The helper must tolerate objects that are already gone and must not remove unrelated map objects with overlapping names unless a prefix was explicitly passed.</x:v>
      </x:c>
      <x:c r="N133" s="14" t="str">
        <x:v>Given Victor good-end cleanup, cultLeaderQuest and all objects whose names start with victorCultist are removed exactly once and VICTOR_COURTYARD_TURN/VICTOR_CULTISTS_PLACED are reset.
Given Victor bad-end timeout cleanup, the same actors are removed and no reward is granted.
Given amulet completion, amuletGoblin and oldWoman are removed, and a repeated cleanup call is a no-op.
Given an unrelated object with a similar but non-matching name, it remains on the map.
Cleanup helper behavior is covered without changing quest ids, dialog ids, or runtime object names.</x:v>
      </x:c>
      <x:c r="O133" s="14" t="str">
        <x:v>Add tests that call cleanup after actors are present, after actors were manually removed, and after save/reload if the scenario harness supports it.
Run python3 test.py focused Nouraajd quest tests, then python3 test.py if feasible.
Also run python3 scripts/validate_content.py --repo-root . to ensure trigger target exceptions remain valid.</x:v>
      </x:c>
      <x:c r="P133" s="14" t="str">
        <x:v>https://github.com/lisu188/fall-of-nouraajd/blob/main/res/game.py
https://github.com/lisu188/fall-of-nouraajd/blob/main/res/maps/nouraajd/script.py
https://github.com/lisu188/fall-of-nouraajd/blob/main/test.py
https://scrumguides.org/scrum-guide.html
https://www.atlassian.com/agile/scrum/backlog-refinement
https://agilealliance.org/glossary/backlog-refinement/
https://cucumber.io/docs/gherkin/reference/</x:v>
      </x:c>
      <x:c r="Q133" s="14" t="str">
        <x:v>NOT_STARTED</x:v>
      </x:c>
      <x:c r="R133" s="14" t="str"/>
      <x:c r="S133" s="14" t="str"/>
      <x:c r="T133" s="94"/>
      <x:c r="U133" s="95"/>
      <x:c r="V133" s="95" t="n">
        <x:v>46193.762083333335</x:v>
      </x:c>
      <x:c r="W133" s="95"/>
      <x:c r="X133" s="95"/>
      <x:c r="Y133" s="101" t="n">
        <x:v>0</x:v>
      </x:c>
      <x:c r="Z133" s="95" t="str">
        <x:v>Groomed 2026-06-20T18:17:24Z: technical plan, acceptance criteria, validation/tests, and source URLs strengthened from repository source and online verification criteria best practices.</x:v>
      </x:c>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exact reward and cleanup regressions in test.py around the existing Nouraajd walkthrough/scenario helpers. For each completion path, capture baseline player.getGold(), player.countItems(item), completed quest ids, active quest ids, and map object presence before invoking the action/trigger. Re-invoke the same completion path where safe and assert deltas do not repeat. Cover MainQuest/GOOBY_REWARD_CLAIMED, OctoBogzQuest/OCTOBOGZ_REWARD_CLAIMED + ShadowBlade, Victor good end/VICTOR_REWARD_CLAIMED + healing + victorMarket/victorRewardDialog, Victor bad end/no reward, and QuestReturnDialog.complete_amulet_quest/preciousAmulet removal + cleanup.</x:v>
      </x:c>
      <x:c r="N134" s="14" t="str">
        <x:v>Given each one-time reward path, first completion grants exactly the documented gold/item/unlock and sets the claim flag before repeatable UI or cleanup work can double grant.
Given the same completion path is replayed, player gold, item counts, and completed quest sets do not change a second time.
Given failure or timeout branch, no good-end reward flag or reward delta is observed.
Given cleanup paths, spawned quest actors are absent after completion/failure.
Tests assert exact object names/flags from source rather than generic success messages.</x:v>
      </x:c>
      <x:c r="O134" s="14" t="str">
        <x:v>Run targeted tests for Nouraajd reward/cleanup cases.
Run python3 test.py GameTest.test_map_walkthrough_nouraajd if available in this branch.
Run full python3 test.py before merge if runtime is available.
Record exact command output in the issue final report.</x:v>
      </x:c>
      <x:c r="P134" s="14" t="str">
        <x:v>https://github.com/lisu188/fall-of-nouraajd/blob/main/test.py
https://github.com/lisu188/fall-of-nouraajd/blob/main/res/maps/nouraajd/script.py
https://github.com/lisu188/fall-of-nouraajd/blob/main/res/maps/siege/script.py
https://scrumguides.org/scrum-guide.html
https://www.atlassian.com/agile/scrum/backlog-refinement
https://agilealliance.org/glossary/backlog-refinement/
https://cucumber.io/docs/gherkin/reference/</x:v>
      </x:c>
      <x:c r="Q134" s="14" t="str">
        <x:v>NOT_STARTED</x:v>
      </x:c>
      <x:c r="R134" s="14" t="str"/>
      <x:c r="S134" s="14" t="str"/>
      <x:c r="T134" s="94"/>
      <x:c r="U134" s="95"/>
      <x:c r="V134" s="95" t="n">
        <x:v>46193.762083333335</x:v>
      </x:c>
      <x:c r="W134" s="95"/>
      <x:c r="X134" s="95"/>
      <x:c r="Y134" s="101" t="n">
        <x:v>0</x:v>
      </x:c>
      <x:c r="Z134" s="95" t="str">
        <x:v>Groomed 2026-06-20T18:17:24Z: technical plan, acceptance criteria, validation/tests, and source URLs strengthened from repository source and online verification criteria best practices.</x:v>
      </x:c>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Create reusable scenario helpers in test.py and/or mcp.py using only exported/allowed MCP handles: CGameLoader.loadGame/startGame/startGameWithPlayer, CGame.getMap/createObject, CMap.getObjectByName/getObjects/move/getTurn, CDialog.invokeAction/invokeCondition, CPlayer.checkQuests/getQuests/getCompletedQuests, and event_loop.instance().run. Helpers should load a named map, create or locate a player, invoke a dialog action by object id, pump the event loop after each state-changing action, snapshot quests/items/flags/objects, and optionally save/reload. Keep map object names sourced from res/maps/nouraajd/map.json/config/dialog files; do not invent coordinates or object names.</x:v>
      </x:c>
      <x:c r="N135" s="14" t="str">
        <x:v>Given a helper call to start Nouraajd, it returns game, map, player, and stable snapshot helpers without requiring GUI-only state.
Given a dialog id/action pair from source, the helper invokes it and pumps the event loop.
Given a missing object/dialog/action, the helper fails with a source-oriented diagnostic instead of silently skipping.
Given a simple Rolf/Gooby scenario, helpers can assert quest state, inventory, and map object changes.
Helper APIs are documented enough for subagents to write scenario tests without duplicating boilerplate.</x:v>
      </x:c>
      <x:c r="O135" s="14" t="str">
        <x:v>Run a smoke scenario through the helper: start Nouraajd, trigger/drive one known quest step, and assert a source-level flag or item change.
Run python3 mcp.py --stdio --repo-root . --build-dir cmake-build-release handshake if MCP is used.
Run python3 test.py focused helper tests.</x:v>
      </x:c>
      <x:c r="P135" s="14" t="str">
        <x:v>https://github.com/lisu188/fall-of-nouraajd/blob/main/test.py
https://github.com/lisu188/fall-of-nouraajd/blob/main/mcp.py
https://github.com/lisu188/fall-of-nouraajd/blob/main/game_simulation.py
https://github.com/lisu188/fall-of-nouraajd/blob/main/res/maps/nouraajd/script.py
https://scrumguides.org/scrum-guide.html
https://www.atlassian.com/agile/scrum/backlog-refinement
https://agilealliance.org/glossary/backlog-refinement/
https://cucumber.io/docs/gherkin/reference/</x:v>
      </x:c>
      <x:c r="Q135" s="14" t="str">
        <x:v>DONE</x:v>
      </x:c>
      <x:c r="R135" s="14" t="str">
        <x:v>controller/ctrl-lis-2-b175230b/subagent-4</x:v>
      </x:c>
      <x:c r="S135" s="14" t="str"/>
      <x:c r="T135" s="94" t="str">
        <x:v>a5284c3f-12c4-4df4-84ec-eedba80acca8</x:v>
      </x:c>
      <x:c r="U135" s="95" t="str">
        <x:v>2026-06-20T19:20:27Z</x:v>
      </x:c>
      <x:c r="V135" s="95" t="str">
        <x:v>2026-06-21T04:07:22Z</x:v>
      </x:c>
      <x:c r="W135" s="95"/>
      <x:c r="X135" s="95" t="str">
        <x:v>2026-06-21T04:07:22Z</x:v>
      </x:c>
      <x:c r="Y135" s="101" t="n">
        <x:v>100</x:v>
      </x:c>
      <x:c r="Z135" s="95" t="str">
        <x:v>Completed</x:v>
      </x:c>
      <x:c r="AA135" s="95" t="str">
        <x:v>Implementation PR #652 merged at 496940914e90ce72ef54b20e0ee3a0c58d5081ab.</x:v>
      </x:c>
      <x:c r="AB135" s="95" t="str">
        <x:v>Local focused checks passed after repair: python3 test.py GameTest.test_mcp_scenario_harness_drives_nouraajd_rolf_gooby; python3 -m unittest tests.security.test_mcp_hardening; git diff --check. CI build/linux, linux-coverage coverage step, and windows passed for PR #652.</x:v>
      </x:c>
      <x:c r="AC135" s="96" t="n">
        <x:v>1</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real-session Nouraajd quest scenarios that drive the verified source flow: StartEvent grants rolfQuest/letterFromRolf; cave1 spawns gooby1 and skullOfRolf; gooby1 destruction completes main; townHallDialog.give_letter creates letterToBeren/deliverLetterQuest; BerenDialog.deliver_letter removes letter and unlocks CAN_CRAFT_SCROLLS; catacombs grants holyRelic; BerenDialog.return_relic removes holyRelic and can unlock cleanseCaveQuest; cave2 completes OctoBogz contract and may set OCTOBOGZ_CLEARED; BerenDialog.finish_cleanse changes map to ritual; oldWoman/questDialog/amuletGoblin/questReturnDialog handle amulet cleanup; tavernDialog/townHallDialog/cultLeaderQuest cover Victor good and bad endings.</x:v>
      </x:c>
      <x:c r="N136" s="14" t="str">
        <x:v>Given each major quest line, a scenario proves start condition, required item/flag, completion condition, reward/unlock, and post-completion cleanup.
Given the Victor good-end path, cultLeaderQuest and victorCultist* are spawned then removed and VICTOR_REWARD_CLAIMED is true.
Given the Victor bad-end path, quest_state_victor becomes bad_end and no reward is granted.
Given amulet completion, preciousAmulet is removed, 50 gold is granted once, and oldWoman/amuletGoblin are gone.
Given cleanse completion, map transition request/observed map is ritual.</x:v>
      </x:c>
      <x:c r="O136" s="14" t="str">
        <x:v>Run focused Nouraajd scenario tests and full python3 test.py before merge.
Add snapshot assertions for quest_state_* strings, legacy bool flags, inventory counts, gold deltas, runtime object names, and completed quest ids.
Manually review any GUI-only dialog/trade side effects not observable in headless mode.</x:v>
      </x:c>
      <x:c r="P136" s="14" t="str">
        <x:v>https://github.com/lisu188/fall-of-nouraajd/blob/main/test.py
https://github.com/lisu188/fall-of-nouraajd/blob/main/res/maps/nouraajd/script.py
https://github.com/lisu188/fall-of-nouraajd/blob/main/res/maps/nouraajd/dialog.json
https://github.com/lisu188/fall-of-nouraajd/blob/main/res/maps/nouraajd/dialog2.json
https://github.com/lisu188/fall-of-nouraajd/blob/main/res/maps/nouraajd/dialog3.json
https://github.com/lisu188/fall-of-nouraajd/blob/main/res/maps/nouraajd/dialog4.json
https://github.com/lisu188/fall-of-nouraajd/blob/main/res/maps/nouraajd/dialog5.json
https://github.com/lisu188/fall-of-nouraajd/blob/main/res/maps/nouraajd/map.json
https://scrumguides.org/scrum-guide.html
https://www.atlassian.com/agile/scrum/backlog-refinement
https://agilealliance.org/glossary/backlog-refinement/
https://cucumber.io/docs/gherkin/reference/</x:v>
      </x:c>
      <x:c r="Q136" s="14" t="str">
        <x:v>NOT_STARTED</x:v>
      </x:c>
      <x:c r="R136" s="14" t="str"/>
      <x:c r="S136" s="14" t="str"/>
      <x:c r="T136" s="94"/>
      <x:c r="U136" s="95"/>
      <x:c r="V136" s="95" t="n">
        <x:v>46193.762083333335</x:v>
      </x:c>
      <x:c r="W136" s="95"/>
      <x:c r="X136" s="95"/>
      <x:c r="Y136" s="101" t="n">
        <x:v>0</x:v>
      </x:c>
      <x:c r="Z136" s="95" t="str">
        <x:v>Groomed 2026-06-20T18:17:24Z: technical plan, acceptance criteria, validation/tests, and source URLs strengthened from repository source and online verification criteria best practices.</x:v>
      </x:c>
      <x:c r="AA136" s="95"/>
      <x:c r="AB136" s="95"/>
      <x:c r="AC136" s="96" t="n">
        <x:v>0</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order-permutation and reload scenarios for the Beren/OctoBogz state machine using the declared QuestSystem states: letter_pending, letter_in_hand, letter_delivered, relic_obtained, relic_returned_waiting_kill, octobogz_slain_pending_letter, octobogz_slain_no_relic, ready_to_report, and purged. Drive permutations: OctoBogz before letter, letter before OctoBogz, relic obtained before delivery, relic returned before/after OctoBogz, and save/reload between each transition. Assert legacy flags stay synchronized: DELIVERED_LETTER, RELIC_RETURNED, OCTOBOGZ_SLAIN, OCTOBOGZ_CLEARED, CAVE_PURGED.</x:v>
      </x:c>
      <x:c r="N137" s="14" t="str">
        <x:v>Given OctoBogz is killed before letter delivery, state becomes octobogz_slain_pending_letter and later delivery/relic flow can still reach ready_to_report.
Given relic is returned before OctoBogz is killed, state remains relic_returned_waiting_kill until cave2 is cleared.
Given save/reload between transitions, state strings, legacy bool flags, active quests, completed quests, and inventory remain consistent.
Given every valid permutation, finish_cleanse only transitions to ritual from ready_to_report.
Any impossible or unsupported order is explicitly documented as blocked rather than silently skipped.</x:v>
      </x:c>
      <x:c r="O137" s="14" t="str">
        <x:v>Create parameterized scenario table or equivalent test helper.
Run targeted order-permutation tests.
Run save/load regression command already used by test.py if touched.
Run python3 scripts/validate_content.py --repo-root . and python3 test.py before merge if feasible.</x:v>
      </x:c>
      <x:c r="P137" s="14" t="str">
        <x:v>https://github.com/lisu188/fall-of-nouraajd/blob/main/test.py
https://github.com/lisu188/fall-of-nouraajd/blob/main/res/maps/nouraajd/script.py
https://github.com/lisu188/fall-of-nouraajd/blob/main/res/maps/nouraajd/config.json
https://scrumguides.org/scrum-guide.html
https://www.atlassian.com/agile/scrum/backlog-refinement
https://agilealliance.org/glossary/backlog-refinement/
https://cucumber.io/docs/gherkin/reference/</x:v>
      </x:c>
      <x:c r="Q137" s="14" t="str">
        <x:v>NOT_STARTED</x:v>
      </x:c>
      <x:c r="R137" s="14" t="str"/>
      <x:c r="S137" s="14" t="str"/>
      <x:c r="T137" s="94"/>
      <x:c r="U137" s="95"/>
      <x:c r="V137" s="95" t="n">
        <x:v>46193.762083333335</x:v>
      </x:c>
      <x:c r="W137" s="95"/>
      <x:c r="X137" s="95"/>
      <x:c r="Y137" s="101" t="n">
        <x:v>0</x:v>
      </x:c>
      <x:c r="Z137" s="95" t="str">
        <x:v>Groomed 2026-06-20T18:17:24Z: technical plan, acceptance criteria, validation/tests, and source URLs strengthened from repository source and online verification criteria best practices.</x:v>
      </x:c>
      <x:c r="AA137" s="95"/>
      <x:c r="AB137" s="95"/>
      <x:c r="AC137" s="96" t="n">
        <x:v>0</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Harden MCP scenario process execution in mcp.py/test.py. Use subprocess.Popen with concurrent stdout/stderr readers or communicate(timeout=...) so stderr cannot block a long campaign scenario. Increase or derive timeout budgets for full map jsonify/snapshot cases, but keep focused smoke tests fast. Include last request id, method, map name, elapsed time, stderr tail, and stdout tail in timeout diagnostics. Avoid arbitrary sleeps; after move/dialog/changeMap/queued action, pump event_loop.instance().run through the existing helper until an observable predicate changes or a bounded timeout expires.</x:v>
      </x:c>
      <x:c r="N138" s="14" t="str">
        <x:v>Given a scenario emits large stderr output, the harness does not deadlock.
Given map snapshot/jsonify output is large, timeout diagnostics include method, map, elapsed seconds, stderr tail, and stdout tail.
Given a predicate never becomes true, the test fails with the last observable game state instead of sleeping indefinitely.
Fast smoke scenarios remain short enough for PR CI, while full-route cases can use a documented slower timeout.
No MCP protocol compatibility is broken.</x:v>
      </x:c>
      <x:c r="O138" s="14" t="str">
        <x:v>Add a synthetic subprocess/stderr-drain test if feasible.
Run python3 mcp.py --stdio --repo-root . --build-dir cmake-build-release handshake.
Run one full Nouraajd scenario with timeout diagnostics enabled.
Run python3 test.py focused MCP/scenario tests.</x:v>
      </x:c>
      <x:c r="P138" s="14" t="str">
        <x:v>https://github.com/lisu188/fall-of-nouraajd/blob/main/mcp.py
https://github.com/lisu188/fall-of-nouraajd/blob/main/test.py
https://github.com/lisu188/fall-of-nouraajd/blob/main/docs/testing.md
https://scrumguides.org/scrum-guide.html
https://www.atlassian.com/agile/scrum/backlog-refinement
https://agilealliance.org/glossary/backlog-refinement/
https://cucumber.io/docs/gherkin/reference/</x:v>
      </x:c>
      <x:c r="Q138" s="14" t="str">
        <x:v>NOT_STARTED</x:v>
      </x:c>
      <x:c r="R138" s="14" t="str"/>
      <x:c r="S138" s="14" t="str"/>
      <x:c r="T138" s="94"/>
      <x:c r="U138" s="95"/>
      <x:c r="V138" s="95" t="n">
        <x:v>46193.762083333335</x:v>
      </x:c>
      <x:c r="W138" s="95"/>
      <x:c r="X138" s="95"/>
      <x:c r="Y138" s="101" t="n">
        <x:v>0</x:v>
      </x:c>
      <x:c r="Z138" s="95" t="str">
        <x:v>Groomed 2026-06-20T18:17:24Z: technical plan, acceptance criteria, validation/tests, and source URLs strengthened from repository source and online verification criteria best practices.</x:v>
      </x:c>
      <x:c r="AA138" s="95"/>
      <x:c r="AB138" s="95"/>
      <x:c r="AC138" s="96" t="n">
        <x:v>0</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Define CI gating for campaign scenarios in docs/testing.md and .github/workflows/build.yml without hiding required gameplay checks. Split tests into: fast content validation, fast Nouraajd smoke scenario, targeted quest-state/reward cleanup tests, and slower full-route campaign scenarios. PR CI should run fast gates that catch string wiring, validator regressions, and high-value quest breakage. Full-route scenarios can run on schedule, label, or explicit workflow dispatch if too expensive. Update issue final-report guidance so any quest/content change states which scenario subset was run and why any full-route gate was skipped.</x:v>
      </x:c>
      <x:c r="N139" s="14" t="str">
        <x:v>Given a normal PR, CI runs content validation and the fast Nouraajd smoke/regression subset.
Given a campaign/quest/dialog-trigger PR, required scenario subset is documented in the issue final report.
Given scheduled or manually dispatched CI, full-route campaign scenarios run with timeout diagnostics.
Given a scenario is skipped, the reason is explicit and not treated as pass.
docs/testing.md lists exact commands and when to use them.</x:v>
      </x:c>
      <x:c r="O139" s="14" t="str">
        <x:v>Run python3 scripts/validate_content.py --repo-root .
Run the documented fast scenario command locally.
Dry-review .github/workflows/build.yml for job names, labels, and timeouts.
If workflow YAML changes, validate syntax and include final command outputs in Result Summary/Validation Results.</x:v>
      </x:c>
      <x:c r="P139" s="14" t="str">
        <x:v>https://github.com/lisu188/fall-of-nouraajd/blob/main/docs/testing.md
https://github.com/lisu188/fall-of-nouraajd/blob/main/.github/workflows/build.yml
https://github.com/lisu188/fall-of-nouraajd/blob/main/test.py
https://github.com/lisu188/fall-of-nouraajd/blob/main/scripts/validate_content.py
https://scrumguides.org/scrum-guide.html
https://www.atlassian.com/agile/scrum/backlog-refinement
https://agilealliance.org/glossary/backlog-refinement/
https://cucumber.io/docs/gherkin/reference/</x:v>
      </x:c>
      <x:c r="Q139" s="14" t="str">
        <x:v>NOT_STARTED</x:v>
      </x:c>
      <x:c r="R139" s="14" t="str"/>
      <x:c r="S139" s="14" t="str"/>
      <x:c r="T139" s="97"/>
      <x:c r="U139" s="98"/>
      <x:c r="V139" s="98" t="n">
        <x:v>46193.762083333335</x:v>
      </x:c>
      <x:c r="W139" s="98"/>
      <x:c r="X139" s="98"/>
      <x:c r="Y139" s="102" t="n">
        <x:v>0</x:v>
      </x:c>
      <x:c r="Z139" s="98" t="str">
        <x:v>Groomed 2026-06-20T18:17:24Z: technical plan, acceptance criteria, validation/tests, and source URLs strengthened from repository source and online verification criteria best practices.</x:v>
      </x:c>
      <x:c r="AA139" s="98"/>
      <x:c r="AB139" s="98"/>
      <x:c r="AC139" s="99" t="n">
        <x:v>0</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5252a289fd44dc7"/>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4">
      <x:c r="A14" s="38" t="str">
        <x:v>Grooming note</x:v>
      </x:c>
      <x:c r="B14" s="38" t="str">
        <x:v>2026-06-20T18:17:24Z: EPIC_07 NOT_STARTED rows were groomed with source-level technical plans, Gherkin-style criteria, and source URLs; no columns were added/removed/reordered.</x:v>
      </x:c>
      <x:c r="C14" s="38"/>
      <x:c r="D14" s="38"/>
      <x:c r="E14" s="38"/>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
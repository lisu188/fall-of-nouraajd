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1eee759d912b45aa" /></Relationships>
</file>

<file path=xl/workbook.xml><?xml version="1.0" encoding="utf-8"?>
<x:workbook xmlns:x="http://schemas.openxmlformats.org/spreadsheetml/2006/main">
  <x:sheets>
    <x:sheet xmlns:r="http://schemas.openxmlformats.org/officeDocument/2006/relationships" name="Dashboard" sheetId="1" r:id="Reb376eef1ea544f4"/>
    <x:sheet xmlns:r="http://schemas.openxmlformats.org/officeDocument/2006/relationships" name="Issue Proposals" sheetId="2" r:id="R17b60337113745f0"/>
    <x:sheet xmlns:r="http://schemas.openxmlformats.org/officeDocument/2006/relationships" name="Validation" sheetId="3" r:id="R79dd24972f9d44de"/>
    <x:sheet xmlns:r="http://schemas.openxmlformats.org/officeDocument/2006/relationships" name="Naming Rules" sheetId="4" r:id="R0dbc87dce8694101"/>
    <x:sheet xmlns:r="http://schemas.openxmlformats.org/officeDocument/2006/relationships" name="Agent Workflow" sheetId="5" r:id="R9cd8fdff937847c1"/>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19">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patternType="solid">
          <x:bgColor rgb="FFBFE3F3"/>
        </x:patternFill>
      </x:fill>
    </x:dxf>
    <x:dxf>
      <x:fill>
        <x:patternFill patternType="solid">
          <x:bgColor rgb="FFFFFFFF"/>
        </x:patternFill>
      </x:fill>
    </x:dxf>
    <x:dxf>
      <x:font>
        <x:color rgb="FF111827"/>
      </x:font>
      <x:fill>
        <x:patternFill patternType="solid">
          <x:bgColor rgb="FFE5E7EB"/>
        </x:patternFill>
      </x:fill>
    </x:dxf>
    <x:dxf>
      <x:font>
        <x:b/>
        <x:color rgb="FF92400E"/>
      </x:font>
      <x:fill>
        <x:patternFill patternType="solid">
          <x:bgColor rgb="FFFEF3C7"/>
        </x:patternFill>
      </x:fill>
    </x:dxf>
    <x:dxf>
      <x:font>
        <x:b/>
        <x:color rgb="FF9D174D"/>
      </x:font>
      <x:fill>
        <x:patternFill patternType="solid">
          <x:bgColor rgb="FFFCE7F3"/>
        </x:patternFill>
      </x:fill>
    </x:dxf>
    <x:dxf>
      <x:font>
        <x:b/>
        <x:color rgb="FF166534"/>
      </x:font>
      <x:fill>
        <x:patternFill patternType="solid">
          <x:bgColor rgb="FFDCFCE7"/>
        </x:patternFill>
      </x:fill>
    </x:dxf>
    <x:dxf>
      <x:font>
        <x:b/>
        <x:color rgb="FF991B1B"/>
      </x:font>
      <x:fill>
        <x:patternFill patternType="solid">
          <x:bgColor rgb="FFFEE2E2"/>
        </x:patternFill>
      </x:fill>
    </x:dxf>
    <x:dxf>
      <x:font>
        <x:color rgb="FF3730A3"/>
      </x:font>
      <x:fill>
        <x:patternFill patternType="solid">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b84d81d33cc44cad" /><Relationship Type="http://schemas.openxmlformats.org/officeDocument/2006/relationships/theme" Target="/xl/theme/theme1.xml" Id="Rff9e60ebc4aa445f" /><Relationship Type="http://schemas.openxmlformats.org/officeDocument/2006/relationships/sharedStrings" Target="/xl/sharedStrings.xml" Id="Rafd16dcb9e294a77" /><Relationship Type="http://schemas.openxmlformats.org/officeDocument/2006/relationships/worksheet" Target="/xl/worksheets/sheet1.xml" Id="Reb376eef1ea544f4" /><Relationship Type="http://schemas.openxmlformats.org/officeDocument/2006/relationships/worksheet" Target="/xl/worksheets/sheet2.xml" Id="R17b60337113745f0" /><Relationship Type="http://schemas.openxmlformats.org/officeDocument/2006/relationships/worksheet" Target="/xl/worksheets/sheet3.xml" Id="R79dd24972f9d44de" /><Relationship Type="http://schemas.openxmlformats.org/officeDocument/2006/relationships/worksheet" Target="/xl/worksheets/sheet4.xml" Id="R0dbc87dce8694101" /><Relationship Type="http://schemas.openxmlformats.org/officeDocument/2006/relationships/worksheet" Target="/xl/worksheets/sheet5.xml" Id="R9cd8fdff937847c1" /></Relationships>
</file>

<file path=xl/drawings/_rels/drawing1.xml.rels>&#65279;<?xml version="1.0" encoding="utf-8"?><Relationships xmlns="http://schemas.openxmlformats.org/package/2006/relationships"><Relationship Type="http://schemas.openxmlformats.org/officeDocument/2006/relationships/chart" Target="/xl/drawings/charts/chart1.xml" Id="Rf44776db3d454887"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44776db3d454887"/>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420f4563f76b4e04" /></Relationships>
</file>

<file path=xl/worksheets/_rels/sheet2.xml.rels>&#65279;<?xml version="1.0" encoding="utf-8"?><Relationships xmlns="http://schemas.openxmlformats.org/package/2006/relationships"><Relationship Type="http://schemas.openxmlformats.org/officeDocument/2006/relationships/table" Target="/xl/tables/table1.xml" Id="R1d213c167f8c41a3"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2026-06-18 15:56</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Proposals'!$H$2:$H$139,"P0")</x:f>
        <x:v>23</x:v>
      </x:c>
      <x:c r="E9" s="39" t="n">
        <x:f>COUNTIFS('Issue Proposals'!$B$2:$B$139,A9,'Issue Proposals'!$H$2:$H$139,"P1")</x:f>
        <x:v>0</x:v>
      </x:c>
      <x:c r="F9" s="39" t="n">
        <x:f>COUNTIFS('Issue Proposals'!$B$2:$B$139,A9,'Issue Proposals'!$H$2:$H$139,"P2")</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Proposals'!$H$2:$H$139,"P0")</x:f>
        <x:v>0</x:v>
      </x:c>
      <x:c r="E10" s="39" t="n">
        <x:f>COUNTIFS('Issue Proposals'!$B$2:$B$139,A10,'Issue Proposals'!$H$2:$H$139,"P1")</x:f>
        <x:v>26</x:v>
      </x:c>
      <x:c r="F10" s="39" t="n">
        <x:f>COUNTIFS('Issue Proposals'!$B$2:$B$139,A10,'Issue Proposals'!$H$2:$H$139,"P2")</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Proposals'!$H$2:$H$139,"P0")</x:f>
        <x:v>2</x:v>
      </x:c>
      <x:c r="E11" s="39" t="n">
        <x:f>COUNTIFS('Issue Proposals'!$B$2:$B$139,A11,'Issue Proposals'!$H$2:$H$139,"P1")</x:f>
        <x:v>18</x:v>
      </x:c>
      <x:c r="F11" s="39" t="n">
        <x:f>COUNTIFS('Issue Proposals'!$B$2:$B$139,A11,'Issue Proposals'!$H$2:$H$139,"P2")</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Proposals'!$H$2:$H$139,"P0")</x:f>
        <x:v>0</x:v>
      </x:c>
      <x:c r="E12" s="39" t="n">
        <x:f>COUNTIFS('Issue Proposals'!$B$2:$B$139,A12,'Issue Proposals'!$H$2:$H$139,"P1")</x:f>
        <x:v>11</x:v>
      </x:c>
      <x:c r="F12" s="39" t="n">
        <x:f>COUNTIFS('Issue Proposals'!$B$2:$B$139,A12,'Issue Proposals'!$H$2:$H$139,"P2")</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Proposals'!$H$2:$H$139,"P0")</x:f>
        <x:v>0</x:v>
      </x:c>
      <x:c r="E13" s="39" t="n">
        <x:f>COUNTIFS('Issue Proposals'!$B$2:$B$139,A13,'Issue Proposals'!$H$2:$H$139,"P1")</x:f>
        <x:v>6</x:v>
      </x:c>
      <x:c r="F13" s="39" t="n">
        <x:f>COUNTIFS('Issue Proposals'!$B$2:$B$139,A13,'Issue Proposals'!$H$2:$H$139,"P2")</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Proposals'!$H$2:$H$139,"P0")</x:f>
        <x:v>0</x:v>
      </x:c>
      <x:c r="E14" s="39" t="n">
        <x:f>COUNTIFS('Issue Proposals'!$B$2:$B$139,A14,'Issue Proposals'!$H$2:$H$139,"P1")</x:f>
        <x:v>0</x:v>
      </x:c>
      <x:c r="F14" s="39" t="n">
        <x:f>COUNTIFS('Issue Proposals'!$B$2:$B$139,A14,'Issue Proposals'!$H$2:$H$139,"P2")</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Proposals'!$H$2:$H$139,"P0")</x:f>
        <x:v>0</x:v>
      </x:c>
      <x:c r="E15" s="39" t="n">
        <x:f>COUNTIFS('Issue Proposals'!$B$2:$B$139,A15,'Issue Proposals'!$H$2:$H$139,"P1")</x:f>
        <x:v>13</x:v>
      </x:c>
      <x:c r="F15" s="39" t="n">
        <x:f>COUNTIFS('Issue Proposals'!$B$2:$B$139,A15,'Issue Proposals'!$H$2:$H$139,"P2")</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138</x:v>
      </x:c>
      <x:c r="C28" s="53"/>
      <x:c r="D28" s="53"/>
      <x:c r="E28" s="53"/>
      <x:c r="F28" s="53"/>
      <x:c r="G28" s="53"/>
      <x:c r="H28" s="53"/>
      <x:c r="I28" s="53"/>
      <x:c r="J28" s="53"/>
      <x:c r="K28" s="53"/>
      <x:c r="L28" s="53"/>
      <x:c r="M28" s="53"/>
      <x:c r="N28" s="53"/>
    </x:row>
    <x:row r="29">
      <x:c r="A29" s="39" t="str">
        <x:v>IN_PROGRESS</x:v>
      </x:c>
      <x:c r="B29" s="39" t="n">
        <x:f>COUNTIF('Issue Proposals'!$Q$2:$Q$139,A29)</x:f>
        <x:v>0</x:v>
      </x:c>
      <x:c r="C29" s="53"/>
      <x:c r="D29" s="53"/>
      <x:c r="E29" s="53"/>
      <x:c r="F29" s="53"/>
      <x:c r="G29" s="53"/>
      <x:c r="H29" s="53"/>
      <x:c r="I29" s="53"/>
      <x:c r="J29" s="53"/>
      <x:c r="K29" s="53"/>
      <x:c r="L29" s="53"/>
      <x:c r="M29" s="53"/>
      <x:c r="N29" s="53"/>
    </x:row>
    <x:row r="30">
      <x:c r="A30" s="39" t="str">
        <x:v>BLOCKED</x:v>
      </x:c>
      <x:c r="B30" s="39" t="n">
        <x:f>COUNTIF('Issue Proposals'!$Q$2:$Q$139,A30)</x:f>
        <x:v>0</x:v>
      </x:c>
      <x:c r="C30" s="53"/>
      <x:c r="D30" s="53"/>
      <x:c r="E30" s="53"/>
      <x:c r="F30" s="53"/>
      <x:c r="G30" s="53"/>
      <x:c r="H30" s="53"/>
      <x:c r="I30" s="53"/>
      <x:c r="J30" s="53"/>
      <x:c r="K30" s="53"/>
      <x:c r="L30" s="53"/>
      <x:c r="M30" s="53"/>
      <x:c r="N30" s="53"/>
    </x:row>
    <x:row r="31">
      <x:c r="A31" s="39" t="str">
        <x:v>DONE</x:v>
      </x:c>
      <x:c r="B31" s="39" t="n">
        <x:f>COUNTIF('Issue Proposals'!$Q$2:$Q$139,A31)</x:f>
        <x:v>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420f4563f76b4e04"/>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72" hidden="0" customWidth="1"/>
    <x:col min="14" max="14" width="56" hidden="0" customWidth="1"/>
    <x:col min="15" max="15" width="46" hidden="0" customWidth="1"/>
    <x:col min="16" max="16" width="44"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38" hidden="0" customWidth="1"/>
    <x:col min="27" max="27" width="42" hidden="0" customWidth="1"/>
    <x:col min="28" max="28" width="42"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NOT_STARTED</x:v>
      </x:c>
      <x:c r="R5" s="14" t="str"/>
      <x:c r="S5" s="14" t="str"/>
      <x:c r="T5" s="94"/>
      <x:c r="U5" s="95"/>
      <x:c r="V5" s="95"/>
      <x:c r="W5" s="95"/>
      <x:c r="X5" s="95"/>
      <x:c r="Y5" s="101" t="n">
        <x:v>0</x:v>
      </x:c>
      <x:c r="Z5" s="95"/>
      <x:c r="AA5" s="95"/>
      <x:c r="AB5" s="95"/>
      <x:c r="AC5" s="96" t="n">
        <x:v>0</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NOT_STARTED</x:v>
      </x:c>
      <x:c r="R7" s="14" t="str"/>
      <x:c r="S7" s="14" t="str"/>
      <x:c r="T7" s="94"/>
      <x:c r="U7" s="95"/>
      <x:c r="V7" s="95"/>
      <x:c r="W7" s="95"/>
      <x:c r="X7" s="95"/>
      <x:c r="Y7" s="101" t="n">
        <x:v>0</x:v>
      </x:c>
      <x:c r="Z7" s="95"/>
      <x:c r="AA7" s="95"/>
      <x:c r="AB7" s="95"/>
      <x:c r="AC7" s="96" t="n">
        <x:v>0</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IN_PROGRESS</x:v>
      </x:c>
      <x:c r="R10" s="14" t="str">
        <x:v>controller/ctrl-lis-2-4bbbdd22/subagent-1</x:v>
      </x:c>
      <x:c r="S10" s="14" t="str"/>
      <x:c r="T10" s="94" t="str">
        <x:v>0d9691be-8d49-4d94-82f1-27e41572201b</x:v>
      </x:c>
      <x:c r="U10" s="95" t="str">
        <x:v>2026-06-19T20:33:23Z</x:v>
      </x:c>
      <x:c r="V10" s="95" t="str">
        <x:v>2026-06-19T20:33:23Z</x:v>
      </x:c>
      <x:c r="W10" s="95" t="str">
        <x:v>2026-06-20T20:33:23Z</x:v>
      </x:c>
      <x:c r="X10" s="95"/>
      <x:c r="Y10" s="101" t="n">
        <x:v>0</x:v>
      </x:c>
      <x:c r="Z10" s="95" t="str">
        <x:v>Claimed by controller/ctrl-lis-2-4bbbdd22/subagent-1</x:v>
      </x:c>
      <x:c r="AA10" s="95"/>
      <x:c r="AB10" s="95"/>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NOT_STARTED</x:v>
      </x:c>
      <x:c r="R11" s="14" t="str"/>
      <x:c r="S11" s="14" t="str"/>
      <x:c r="T11" s="94"/>
      <x:c r="U11" s="95"/>
      <x:c r="V11" s="95"/>
      <x:c r="W11" s="95"/>
      <x:c r="X11" s="95"/>
      <x:c r="Y11" s="101" t="n">
        <x:v>0</x:v>
      </x:c>
      <x:c r="Z11" s="95"/>
      <x:c r="AA11" s="95"/>
      <x:c r="AB11" s="95"/>
      <x:c r="AC11" s="96" t="n">
        <x:v>0</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IN_PROGRESS</x:v>
      </x:c>
      <x:c r="R14" s="14" t="str">
        <x:v>controller/ctrl-lis-2-4bbbdd22/subagent-3</x:v>
      </x:c>
      <x:c r="S14" s="14" t="str"/>
      <x:c r="T14" s="94" t="str">
        <x:v>b9ac5462-745e-4109-9a59-cf2dd448b5df</x:v>
      </x:c>
      <x:c r="U14" s="95" t="str">
        <x:v>2026-06-19T20:39:20Z</x:v>
      </x:c>
      <x:c r="V14" s="95" t="str">
        <x:v>2026-06-19T20:39:20Z</x:v>
      </x:c>
      <x:c r="W14" s="95" t="str">
        <x:v>2026-06-20T20:39:20Z</x:v>
      </x:c>
      <x:c r="X14" s="95"/>
      <x:c r="Y14" s="101" t="n">
        <x:v>0</x:v>
      </x:c>
      <x:c r="Z14" s="95" t="str">
        <x:v>Claimed by controller/ctrl-lis-2-4bbbdd22/subagent-3</x:v>
      </x:c>
      <x:c r="AA14" s="95"/>
      <x:c r="AB14" s="95"/>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NOT_STARTED</x:v>
      </x:c>
      <x:c r="R15" s="14" t="str"/>
      <x:c r="S15" s="14" t="str"/>
      <x:c r="T15" s="94"/>
      <x:c r="U15" s="95"/>
      <x:c r="V15" s="95"/>
      <x:c r="W15" s="95"/>
      <x:c r="X15" s="95"/>
      <x:c r="Y15" s="101" t="n">
        <x:v>0</x:v>
      </x:c>
      <x:c r="Z15" s="95"/>
      <x:c r="AA15" s="95"/>
      <x:c r="AB15" s="95"/>
      <x:c r="AC15" s="96" t="n">
        <x:v>0</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NOT_STARTED</x:v>
      </x:c>
      <x:c r="R17" s="14" t="str"/>
      <x:c r="S17" s="14" t="str"/>
      <x:c r="T17" s="94"/>
      <x:c r="U17" s="95"/>
      <x:c r="V17" s="95"/>
      <x:c r="W17" s="95"/>
      <x:c r="X17" s="95"/>
      <x:c r="Y17" s="101" t="n">
        <x:v>0</x:v>
      </x:c>
      <x:c r="Z17" s="95"/>
      <x:c r="AA17" s="95"/>
      <x:c r="AB17" s="95"/>
      <x:c r="AC17" s="96" t="n">
        <x:v>0</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NOT_STARTED</x:v>
      </x:c>
      <x:c r="R18" s="14" t="str"/>
      <x:c r="S18" s="14" t="str"/>
      <x:c r="T18" s="94"/>
      <x:c r="U18" s="95"/>
      <x:c r="V18" s="95"/>
      <x:c r="W18" s="95"/>
      <x:c r="X18" s="95"/>
      <x:c r="Y18" s="101" t="n">
        <x:v>0</x:v>
      </x:c>
      <x:c r="Z18" s="95"/>
      <x:c r="AA18" s="95"/>
      <x:c r="AB18" s="95"/>
      <x:c r="AC18" s="96" t="n">
        <x:v>0</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NOT_STARTED</x:v>
      </x:c>
      <x:c r="R19" s="14" t="str"/>
      <x:c r="S19" s="14" t="str"/>
      <x:c r="T19" s="94"/>
      <x:c r="U19" s="95"/>
      <x:c r="V19" s="95"/>
      <x:c r="W19" s="95"/>
      <x:c r="X19" s="95"/>
      <x:c r="Y19" s="101" t="n">
        <x:v>0</x:v>
      </x:c>
      <x:c r="Z19" s="95"/>
      <x:c r="AA19" s="95"/>
      <x:c r="AB19" s="95"/>
      <x:c r="AC19" s="96" t="n">
        <x:v>0</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NOT_STARTED</x:v>
      </x:c>
      <x:c r="R22" s="14" t="str"/>
      <x:c r="S22" s="14" t="str"/>
      <x:c r="T22" s="94"/>
      <x:c r="U22" s="95"/>
      <x:c r="V22" s="95"/>
      <x:c r="W22" s="95"/>
      <x:c r="X22" s="95"/>
      <x:c r="Y22" s="101" t="n">
        <x:v>0</x:v>
      </x:c>
      <x:c r="Z22" s="95"/>
      <x:c r="AA22" s="95"/>
      <x:c r="AB22" s="95"/>
      <x:c r="AC22" s="96" t="n">
        <x:v>0</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NOT_STARTED</x:v>
      </x:c>
      <x:c r="R23" s="14" t="str"/>
      <x:c r="S23" s="14" t="str"/>
      <x:c r="T23" s="94"/>
      <x:c r="U23" s="95"/>
      <x:c r="V23" s="95"/>
      <x:c r="W23" s="95"/>
      <x:c r="X23" s="95"/>
      <x:c r="Y23" s="101" t="n">
        <x:v>0</x:v>
      </x:c>
      <x:c r="Z23" s="95"/>
      <x:c r="AA23" s="95"/>
      <x:c r="AB23" s="95"/>
      <x:c r="AC23" s="96" t="n">
        <x:v>0</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NOT_STARTED</x:v>
      </x:c>
      <x:c r="R24" s="14" t="str"/>
      <x:c r="S24" s="14" t="str"/>
      <x:c r="T24" s="94"/>
      <x:c r="U24" s="95"/>
      <x:c r="V24" s="95"/>
      <x:c r="W24" s="95"/>
      <x:c r="X24" s="95"/>
      <x:c r="Y24" s="101" t="n">
        <x:v>0</x:v>
      </x:c>
      <x:c r="Z24" s="95"/>
      <x:c r="AA24" s="95"/>
      <x:c r="AB24" s="95"/>
      <x:c r="AC24" s="96" t="n">
        <x:v>0</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BLOCKED</x:v>
      </x:c>
      <x:c r="R25" s="14" t="str">
        <x:v>controller/ctrl-lis-2-9b3984de/subagent-1</x:v>
      </x:c>
      <x:c r="S25" s="14" t="str"/>
      <x:c r="T25" s="94" t="str">
        <x:v>59cbb278-40c2-4812-bb69-9f07ce8c5189</x:v>
      </x:c>
      <x:c r="U25" s="95" t="str">
        <x:v>2026-06-19T15:03:11Z</x:v>
      </x:c>
      <x:c r="V25" s="95" t="str">
        <x:v>2026-06-19T16:15:40Z</x:v>
      </x:c>
      <x:c r="W25" s="95"/>
      <x:c r="X25" s="95"/>
      <x:c r="Y25" s="101" t="n">
        <x:v>0</x:v>
      </x:c>
      <x:c r="Z25" s="95" t="str">
        <x:v>Blocked by unrelated CFightHandler coverage-exclusion failure in PR #502 linux-coverage</x:v>
      </x:c>
      <x:c r="AA25" s="95" t="str">
        <x:v>Implementation PR #502 is complete and scoped to context-owned provider accessors, but it cannot be merged because the required CI coverage job fails on an unrelated repository-wide coverage exclusion problem in src/handler/CFightHandler.cpp. The implementation branch itself does not modify CFightHandler.cpp or the workbook.</x:v>
      </x:c>
      <x:c r="AB25" s="95" t="str">
        <x:v>PR #502 local/controller evidence: implementation diff is source/test-only; workbook diff is empty; focused local resource_unit_tests validation passed before PR. GitHub Actions run 27835557213: linux, linux-fast, windows, and windows-deps passed; linux-coverage failed with ValueError: coverage exclusion for src/handler/CFightHandler.cpp references non-instrumented line(s): 450, 462. The failure is external to the row 25 provider changes, so the issue is blocked pending coverage-baseline cleanup instead of mixing unrelated CFightHandler work into PR #502.</x:v>
      </x:c>
      <x:c r="AC25" s="96" t="n">
        <x:v>2</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NOT_STARTED</x:v>
      </x:c>
      <x:c r="R26" s="14" t="str"/>
      <x:c r="S26" s="14" t="str"/>
      <x:c r="T26" s="94"/>
      <x:c r="U26" s="95"/>
      <x:c r="V26" s="95"/>
      <x:c r="W26" s="95"/>
      <x:c r="X26" s="95"/>
      <x:c r="Y26" s="101" t="n">
        <x:v>0</x:v>
      </x:c>
      <x:c r="Z26" s="95"/>
      <x:c r="AA26" s="95"/>
      <x:c r="AB26" s="95"/>
      <x:c r="AC26" s="96" t="n">
        <x:v>0</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IN_PROGRESS</x:v>
      </x:c>
      <x:c r="R30" s="14" t="str">
        <x:v>controller/ctrl-lis-2-9b3984de/subagent-4</x:v>
      </x:c>
      <x:c r="S30" s="14" t="str"/>
      <x:c r="T30" s="94" t="str">
        <x:v>fd9f18bb-3846-43a1-89a8-9472fe10b0ca</x:v>
      </x:c>
      <x:c r="U30" s="95" t="str">
        <x:v>2026-06-19T16:19:25Z</x:v>
      </x:c>
      <x:c r="V30" s="95" t="str">
        <x:v>2026-06-19T16:19:25Z</x:v>
      </x:c>
      <x:c r="W30" s="95" t="str">
        <x:v>2026-06-19T18:19:25Z</x:v>
      </x:c>
      <x:c r="X30" s="95"/>
      <x:c r="Y30" s="101" t="n">
        <x:v>0</x:v>
      </x:c>
      <x:c r="Z30" s="95" t="str">
        <x:v>Claimed by controller/ctrl-lis-2-9b3984de/subagent-4</x:v>
      </x:c>
      <x:c r="AA30" s="95"/>
      <x:c r="AB30" s="95"/>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NOT_STARTED</x:v>
      </x:c>
      <x:c r="R31" s="14" t="str"/>
      <x:c r="S31" s="14" t="str"/>
      <x:c r="T31" s="94"/>
      <x:c r="U31" s="95"/>
      <x:c r="V31" s="95"/>
      <x:c r="W31" s="95"/>
      <x:c r="X31" s="95"/>
      <x:c r="Y31" s="101" t="n">
        <x:v>0</x:v>
      </x:c>
      <x:c r="Z31" s="95"/>
      <x:c r="AA31" s="95"/>
      <x:c r="AB31" s="95"/>
      <x:c r="AC31" s="96" t="n">
        <x:v>0</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NOT_STARTED</x:v>
      </x:c>
      <x:c r="R32" s="14" t="str"/>
      <x:c r="S32" s="14" t="str"/>
      <x:c r="T32" s="94"/>
      <x:c r="U32" s="95"/>
      <x:c r="V32" s="95"/>
      <x:c r="W32" s="95"/>
      <x:c r="X32" s="95"/>
      <x:c r="Y32" s="101" t="n">
        <x:v>0</x:v>
      </x:c>
      <x:c r="Z32" s="95"/>
      <x:c r="AA32" s="95"/>
      <x:c r="AB32" s="95"/>
      <x:c r="AC32" s="96" t="n">
        <x:v>0</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NOT_STARTED</x:v>
      </x:c>
      <x:c r="R33" s="14" t="str"/>
      <x:c r="S33" s="14" t="str"/>
      <x:c r="T33" s="94"/>
      <x:c r="U33" s="95"/>
      <x:c r="V33" s="95"/>
      <x:c r="W33" s="95"/>
      <x:c r="X33" s="95"/>
      <x:c r="Y33" s="101" t="n">
        <x:v>0</x:v>
      </x:c>
      <x:c r="Z33" s="95"/>
      <x:c r="AA33" s="95"/>
      <x:c r="AB33" s="95"/>
      <x:c r="AC33" s="96" t="n">
        <x:v>0</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NOT_STARTED</x:v>
      </x:c>
      <x:c r="R34" s="14" t="str"/>
      <x:c r="S34" s="14" t="str"/>
      <x:c r="T34" s="94"/>
      <x:c r="U34" s="95"/>
      <x:c r="V34" s="95"/>
      <x:c r="W34" s="95"/>
      <x:c r="X34" s="95"/>
      <x:c r="Y34" s="101" t="n">
        <x:v>0</x:v>
      </x:c>
      <x:c r="Z34" s="95"/>
      <x:c r="AA34" s="95"/>
      <x:c r="AB34" s="95"/>
      <x:c r="AC34" s="96" t="n">
        <x:v>0</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NOT_STARTED</x:v>
      </x:c>
      <x:c r="R35" s="14" t="str"/>
      <x:c r="S35" s="14" t="str"/>
      <x:c r="T35" s="94"/>
      <x:c r="U35" s="95"/>
      <x:c r="V35" s="95"/>
      <x:c r="W35" s="95"/>
      <x:c r="X35" s="95"/>
      <x:c r="Y35" s="101" t="n">
        <x:v>0</x:v>
      </x:c>
      <x:c r="Z35" s="95"/>
      <x:c r="AA35" s="95"/>
      <x:c r="AB35" s="95"/>
      <x:c r="AC35" s="96" t="n">
        <x:v>0</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NOT_STARTED</x:v>
      </x:c>
      <x:c r="R36" s="14" t="str"/>
      <x:c r="S36" s="14" t="str"/>
      <x:c r="T36" s="94"/>
      <x:c r="U36" s="95"/>
      <x:c r="V36" s="95"/>
      <x:c r="W36" s="95"/>
      <x:c r="X36" s="95"/>
      <x:c r="Y36" s="101" t="n">
        <x:v>0</x:v>
      </x:c>
      <x:c r="Z36" s="95"/>
      <x:c r="AA36" s="95"/>
      <x:c r="AB36" s="95"/>
      <x:c r="AC36" s="96" t="n">
        <x:v>0</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NOT_STARTED</x:v>
      </x:c>
      <x:c r="R37" s="14" t="str"/>
      <x:c r="S37" s="14" t="str"/>
      <x:c r="T37" s="94"/>
      <x:c r="U37" s="95"/>
      <x:c r="V37" s="95"/>
      <x:c r="W37" s="95"/>
      <x:c r="X37" s="95"/>
      <x:c r="Y37" s="101" t="n">
        <x:v>0</x:v>
      </x:c>
      <x:c r="Z37" s="95"/>
      <x:c r="AA37" s="95"/>
      <x:c r="AB37" s="95"/>
      <x:c r="AC37" s="96" t="n">
        <x:v>0</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NOT_STARTED</x:v>
      </x:c>
      <x:c r="R41" s="14" t="str"/>
      <x:c r="S41" s="14" t="str"/>
      <x:c r="T41" s="94"/>
      <x:c r="U41" s="95"/>
      <x:c r="V41" s="95"/>
      <x:c r="W41" s="95"/>
      <x:c r="X41" s="95"/>
      <x:c r="Y41" s="101" t="n">
        <x:v>0</x:v>
      </x:c>
      <x:c r="Z41" s="95"/>
      <x:c r="AA41" s="95"/>
      <x:c r="AB41" s="95"/>
      <x:c r="AC41" s="96" t="n">
        <x:v>0</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NOT_STARTED</x:v>
      </x:c>
      <x:c r="R42" s="14" t="str"/>
      <x:c r="S42" s="14" t="str"/>
      <x:c r="T42" s="94"/>
      <x:c r="U42" s="95"/>
      <x:c r="V42" s="95"/>
      <x:c r="W42" s="95"/>
      <x:c r="X42" s="95"/>
      <x:c r="Y42" s="101" t="n">
        <x:v>0</x:v>
      </x:c>
      <x:c r="Z42" s="95"/>
      <x:c r="AA42" s="95"/>
      <x:c r="AB42" s="95"/>
      <x:c r="AC42" s="96" t="n">
        <x:v>0</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NOT_STARTED</x:v>
      </x:c>
      <x:c r="R44" s="14" t="str"/>
      <x:c r="S44" s="14" t="str"/>
      <x:c r="T44" s="94"/>
      <x:c r="U44" s="95"/>
      <x:c r="V44" s="95"/>
      <x:c r="W44" s="95"/>
      <x:c r="X44" s="95"/>
      <x:c r="Y44" s="101" t="n">
        <x:v>0</x:v>
      </x:c>
      <x:c r="Z44" s="95"/>
      <x:c r="AA44" s="95"/>
      <x:c r="AB44" s="95"/>
      <x:c r="AC44" s="96" t="n">
        <x:v>0</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NOT_STARTED</x:v>
      </x:c>
      <x:c r="R45" s="14" t="str"/>
      <x:c r="S45" s="14" t="str"/>
      <x:c r="T45" s="94"/>
      <x:c r="U45" s="95"/>
      <x:c r="V45" s="95"/>
      <x:c r="W45" s="95"/>
      <x:c r="X45" s="95"/>
      <x:c r="Y45" s="101" t="n">
        <x:v>0</x:v>
      </x:c>
      <x:c r="Z45" s="95"/>
      <x:c r="AA45" s="95"/>
      <x:c r="AB45" s="95"/>
      <x:c r="AC45" s="96" t="n">
        <x:v>0</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IN_PROGRESS</x:v>
      </x:c>
      <x:c r="R47" s="14" t="str">
        <x:v>controller/ctrl-lis-2-05df2af9/subagent-3</x:v>
      </x:c>
      <x:c r="S47" s="14" t="str"/>
      <x:c r="T47" s="94" t="str">
        <x:v>b444ebf3-74d3-4c71-8b4c-6ff2a8ab2f4e</x:v>
      </x:c>
      <x:c r="U47" s="95" t="str">
        <x:v>2026-06-19T16:28:03Z</x:v>
      </x:c>
      <x:c r="V47" s="95" t="str">
        <x:v>2026-06-19T16:28:03Z</x:v>
      </x:c>
      <x:c r="W47" s="95" t="str">
        <x:v>2026-06-20T16:28:03Z</x:v>
      </x:c>
      <x:c r="X47" s="95"/>
      <x:c r="Y47" s="101" t="n">
        <x:v>0</x:v>
      </x:c>
      <x:c r="Z47" s="95" t="str">
        <x:v>Claimed by controller/ctrl-lis-2-05df2af9/subagent-3</x:v>
      </x:c>
      <x:c r="AA47" s="95"/>
      <x:c r="AB47" s="95"/>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NOT_STARTED</x:v>
      </x:c>
      <x:c r="R48" s="14" t="str"/>
      <x:c r="S48" s="14" t="str"/>
      <x:c r="T48" s="94"/>
      <x:c r="U48" s="95"/>
      <x:c r="V48" s="95"/>
      <x:c r="W48" s="95"/>
      <x:c r="X48" s="95"/>
      <x:c r="Y48" s="101" t="n">
        <x:v>0</x:v>
      </x:c>
      <x:c r="Z48" s="95"/>
      <x:c r="AA48" s="95"/>
      <x:c r="AB48" s="95"/>
      <x:c r="AC48" s="96" t="n">
        <x:v>0</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NOT_STARTED</x:v>
      </x:c>
      <x:c r="R49" s="14" t="str"/>
      <x:c r="S49" s="14" t="str"/>
      <x:c r="T49" s="94"/>
      <x:c r="U49" s="95"/>
      <x:c r="V49" s="95"/>
      <x:c r="W49" s="95"/>
      <x:c r="X49" s="95"/>
      <x:c r="Y49" s="101" t="n">
        <x:v>0</x:v>
      </x:c>
      <x:c r="Z49" s="95"/>
      <x:c r="AA49" s="95"/>
      <x:c r="AB49" s="95"/>
      <x:c r="AC49" s="96" t="n">
        <x:v>0</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NOT_STARTED</x:v>
      </x:c>
      <x:c r="R50" s="14" t="str"/>
      <x:c r="S50" s="14" t="str"/>
      <x:c r="T50" s="94"/>
      <x:c r="U50" s="95"/>
      <x:c r="V50" s="95"/>
      <x:c r="W50" s="95"/>
      <x:c r="X50" s="95"/>
      <x:c r="Y50" s="101" t="n">
        <x:v>0</x:v>
      </x:c>
      <x:c r="Z50" s="95"/>
      <x:c r="AA50" s="95"/>
      <x:c r="AB50" s="95"/>
      <x:c r="AC50" s="96" t="n">
        <x:v>0</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IN_PROGRESS</x:v>
      </x:c>
      <x:c r="R53" s="14" t="str">
        <x:v>controller/ctrl-lis-2-0999ec10/subagent-3</x:v>
      </x:c>
      <x:c r="S53" s="14" t="str"/>
      <x:c r="T53" s="94" t="str">
        <x:v>6ccec2b3-8d69-4312-977f-b066c78c3f1f</x:v>
      </x:c>
      <x:c r="U53" s="95" t="str">
        <x:v>2026-06-19T14:08:49Z</x:v>
      </x:c>
      <x:c r="V53" s="95" t="str">
        <x:v>2026-06-19T14:08:49Z</x:v>
      </x:c>
      <x:c r="W53" s="95" t="str">
        <x:v>2026-06-19T16:08:49Z</x:v>
      </x:c>
      <x:c r="X53" s="95"/>
      <x:c r="Y53" s="101" t="n">
        <x:v>0</x:v>
      </x:c>
      <x:c r="Z53" s="95" t="str">
        <x:v>Claimed by controller/ctrl-lis-2-0999ec10/subagent-3</x:v>
      </x:c>
      <x:c r="AA53" s="95"/>
      <x:c r="AB53" s="95"/>
      <x:c r="AC53" s="96" t="n">
        <x:v>1</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NOT_STARTED</x:v>
      </x:c>
      <x:c r="R54" s="14" t="str"/>
      <x:c r="S54" s="14" t="str"/>
      <x:c r="T54" s="94"/>
      <x:c r="U54" s="95"/>
      <x:c r="V54" s="95"/>
      <x:c r="W54" s="95"/>
      <x:c r="X54" s="95"/>
      <x:c r="Y54" s="101" t="n">
        <x:v>0</x:v>
      </x:c>
      <x:c r="Z54" s="95"/>
      <x:c r="AA54" s="95"/>
      <x:c r="AB54" s="95"/>
      <x:c r="AC54" s="96" t="n">
        <x:v>0</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NOT_STARTED</x:v>
      </x:c>
      <x:c r="R55" s="14" t="str"/>
      <x:c r="S55" s="14" t="str"/>
      <x:c r="T55" s="94"/>
      <x:c r="U55" s="95"/>
      <x:c r="V55" s="95"/>
      <x:c r="W55" s="95"/>
      <x:c r="X55" s="95"/>
      <x:c r="Y55" s="101" t="n">
        <x:v>0</x:v>
      </x:c>
      <x:c r="Z55" s="95"/>
      <x:c r="AA55" s="95"/>
      <x:c r="AB55" s="95"/>
      <x:c r="AC55" s="96" t="n">
        <x:v>0</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NOT_STARTED</x:v>
      </x:c>
      <x:c r="R58" s="14" t="str"/>
      <x:c r="S58" s="14" t="str"/>
      <x:c r="T58" s="94"/>
      <x:c r="U58" s="95"/>
      <x:c r="V58" s="95"/>
      <x:c r="W58" s="95"/>
      <x:c r="X58" s="95"/>
      <x:c r="Y58" s="101" t="n">
        <x:v>0</x:v>
      </x:c>
      <x:c r="Z58" s="95"/>
      <x:c r="AA58" s="95"/>
      <x:c r="AB58" s="95"/>
      <x:c r="AC58" s="96" t="n">
        <x:v>0</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NOT_STARTED</x:v>
      </x:c>
      <x:c r="R59" s="14" t="str"/>
      <x:c r="S59" s="14" t="str"/>
      <x:c r="T59" s="94"/>
      <x:c r="U59" s="95"/>
      <x:c r="V59" s="95"/>
      <x:c r="W59" s="95"/>
      <x:c r="X59" s="95"/>
      <x:c r="Y59" s="101" t="n">
        <x:v>0</x:v>
      </x:c>
      <x:c r="Z59" s="95"/>
      <x:c r="AA59" s="95"/>
      <x:c r="AB59" s="95"/>
      <x:c r="AC59" s="96" t="n">
        <x:v>0</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NOT_STARTED</x:v>
      </x:c>
      <x:c r="R60" s="14" t="str"/>
      <x:c r="S60" s="14" t="str"/>
      <x:c r="T60" s="94"/>
      <x:c r="U60" s="95"/>
      <x:c r="V60" s="95"/>
      <x:c r="W60" s="95"/>
      <x:c r="X60" s="95"/>
      <x:c r="Y60" s="101" t="n">
        <x:v>0</x:v>
      </x:c>
      <x:c r="Z60" s="95"/>
      <x:c r="AA60" s="95"/>
      <x:c r="AB60" s="95"/>
      <x:c r="AC60" s="96" t="n">
        <x:v>0</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NOT_STARTED</x:v>
      </x:c>
      <x:c r="R61" s="14" t="str"/>
      <x:c r="S61" s="14" t="str"/>
      <x:c r="T61" s="94"/>
      <x:c r="U61" s="95"/>
      <x:c r="V61" s="95"/>
      <x:c r="W61" s="95"/>
      <x:c r="X61" s="95"/>
      <x:c r="Y61" s="101" t="n">
        <x:v>0</x:v>
      </x:c>
      <x:c r="Z61" s="95"/>
      <x:c r="AA61" s="95"/>
      <x:c r="AB61" s="95"/>
      <x:c r="AC61" s="96" t="n">
        <x:v>0</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NOT_STARTED</x:v>
      </x:c>
      <x:c r="R62" s="14" t="str"/>
      <x:c r="S62" s="14" t="str"/>
      <x:c r="T62" s="94"/>
      <x:c r="U62" s="95"/>
      <x:c r="V62" s="95"/>
      <x:c r="W62" s="95"/>
      <x:c r="X62" s="95"/>
      <x:c r="Y62" s="101" t="n">
        <x:v>0</x:v>
      </x:c>
      <x:c r="Z62" s="95"/>
      <x:c r="AA62" s="95"/>
      <x:c r="AB62" s="95"/>
      <x:c r="AC62" s="96" t="n">
        <x:v>0</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NOT_STARTED</x:v>
      </x:c>
      <x:c r="R63" s="14" t="str"/>
      <x:c r="S63" s="14" t="str"/>
      <x:c r="T63" s="94"/>
      <x:c r="U63" s="95"/>
      <x:c r="V63" s="95"/>
      <x:c r="W63" s="95"/>
      <x:c r="X63" s="95"/>
      <x:c r="Y63" s="101" t="n">
        <x:v>0</x:v>
      </x:c>
      <x:c r="Z63" s="95"/>
      <x:c r="AA63" s="95"/>
      <x:c r="AB63" s="95"/>
      <x:c r="AC63" s="96" t="n">
        <x:v>0</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NOT_STARTED</x:v>
      </x:c>
      <x:c r="R64" s="14" t="str"/>
      <x:c r="S64" s="14" t="str"/>
      <x:c r="T64" s="94"/>
      <x:c r="U64" s="95"/>
      <x:c r="V64" s="95"/>
      <x:c r="W64" s="95"/>
      <x:c r="X64" s="95"/>
      <x:c r="Y64" s="101" t="n">
        <x:v>0</x:v>
      </x:c>
      <x:c r="Z64" s="95"/>
      <x:c r="AA64" s="95"/>
      <x:c r="AB64" s="95"/>
      <x:c r="AC64" s="96" t="n">
        <x:v>0</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NOT_STARTED</x:v>
      </x:c>
      <x:c r="R65" s="14" t="str"/>
      <x:c r="S65" s="14" t="str"/>
      <x:c r="T65" s="94"/>
      <x:c r="U65" s="95"/>
      <x:c r="V65" s="95"/>
      <x:c r="W65" s="95"/>
      <x:c r="X65" s="95"/>
      <x:c r="Y65" s="101" t="n">
        <x:v>0</x:v>
      </x:c>
      <x:c r="Z65" s="95"/>
      <x:c r="AA65" s="95"/>
      <x:c r="AB65" s="95"/>
      <x:c r="AC65" s="96" t="n">
        <x:v>0</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NOT_STARTED</x:v>
      </x:c>
      <x:c r="R67" s="14" t="str"/>
      <x:c r="S67" s="14" t="str"/>
      <x:c r="T67" s="94"/>
      <x:c r="U67" s="95"/>
      <x:c r="V67" s="95"/>
      <x:c r="W67" s="95"/>
      <x:c r="X67" s="95"/>
      <x:c r="Y67" s="101" t="n">
        <x:v>0</x:v>
      </x:c>
      <x:c r="Z67" s="95"/>
      <x:c r="AA67" s="95"/>
      <x:c r="AB67" s="95"/>
      <x:c r="AC67" s="96" t="n">
        <x:v>0</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IN_PROGRESS</x:v>
      </x:c>
      <x:c r="R71" s="14" t="str">
        <x:v>controller/ctrl-lis-2-0999ec10/subagent-2</x:v>
      </x:c>
      <x:c r="S71" s="14" t="str"/>
      <x:c r="T71" s="94" t="str">
        <x:v>0eaab2f7-3b8d-4250-b77e-30a5b5280cec</x:v>
      </x:c>
      <x:c r="U71" s="95" t="str">
        <x:v>2026-06-19T13:55:55Z</x:v>
      </x:c>
      <x:c r="V71" s="95" t="str">
        <x:v>2026-06-19T13:55:55Z</x:v>
      </x:c>
      <x:c r="W71" s="95" t="str">
        <x:v>2026-06-20T13:55:55Z</x:v>
      </x:c>
      <x:c r="X71" s="95"/>
      <x:c r="Y71" s="101" t="n">
        <x:v>0</x:v>
      </x:c>
      <x:c r="Z71" s="95" t="str">
        <x:v>Claimed by controller/ctrl-lis-2-0999ec10/subagent-2</x:v>
      </x:c>
      <x:c r="AA71" s="95"/>
      <x:c r="AB71" s="95"/>
      <x:c r="AC71" s="96" t="n">
        <x:v>1</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NOT_STARTED</x:v>
      </x:c>
      <x:c r="R72" s="14" t="str"/>
      <x:c r="S72" s="14" t="str"/>
      <x:c r="T72" s="94"/>
      <x:c r="U72" s="95"/>
      <x:c r="V72" s="95"/>
      <x:c r="W72" s="95"/>
      <x:c r="X72" s="95"/>
      <x:c r="Y72" s="101" t="n">
        <x:v>0</x:v>
      </x:c>
      <x:c r="Z72" s="95"/>
      <x:c r="AA72" s="95"/>
      <x:c r="AB72" s="95"/>
      <x:c r="AC72" s="96" t="n">
        <x:v>0</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NOT_STARTED</x:v>
      </x:c>
      <x:c r="R73" s="14" t="str"/>
      <x:c r="S73" s="14" t="str"/>
      <x:c r="T73" s="94"/>
      <x:c r="U73" s="95"/>
      <x:c r="V73" s="95"/>
      <x:c r="W73" s="95"/>
      <x:c r="X73" s="95"/>
      <x:c r="Y73" s="101" t="n">
        <x:v>0</x:v>
      </x:c>
      <x:c r="Z73" s="95"/>
      <x:c r="AA73" s="95"/>
      <x:c r="AB73" s="95"/>
      <x:c r="AC73" s="96" t="n">
        <x:v>0</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NOT_STARTED</x:v>
      </x:c>
      <x:c r="R74" s="14" t="str"/>
      <x:c r="S74" s="14" t="str"/>
      <x:c r="T74" s="94"/>
      <x:c r="U74" s="95"/>
      <x:c r="V74" s="95"/>
      <x:c r="W74" s="95"/>
      <x:c r="X74" s="95"/>
      <x:c r="Y74" s="101" t="n">
        <x:v>0</x:v>
      </x:c>
      <x:c r="Z74" s="95"/>
      <x:c r="AA74" s="95"/>
      <x:c r="AB74" s="95"/>
      <x:c r="AC74" s="96" t="n">
        <x:v>0</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IN_PROGRESS</x:v>
      </x:c>
      <x:c r="R77" s="14" t="str">
        <x:v>controller/ctrl-lis-2-4bbbdd22/subagent-4</x:v>
      </x:c>
      <x:c r="S77" s="14" t="str"/>
      <x:c r="T77" s="94" t="str">
        <x:v>1adbc29a-5bc4-4a17-a02a-e24165d982b8</x:v>
      </x:c>
      <x:c r="U77" s="95" t="str">
        <x:v>2026-06-19T20:43:35Z</x:v>
      </x:c>
      <x:c r="V77" s="95" t="str">
        <x:v>2026-06-19T20:43:35Z</x:v>
      </x:c>
      <x:c r="W77" s="95" t="str">
        <x:v>2026-06-20T20:43:35Z</x:v>
      </x:c>
      <x:c r="X77" s="95"/>
      <x:c r="Y77" s="101" t="n">
        <x:v>0</x:v>
      </x:c>
      <x:c r="Z77" s="95" t="str">
        <x:v>Claimed by controller/ctrl-lis-2-4bbbdd22/subagent-4</x:v>
      </x:c>
      <x:c r="AA77" s="95"/>
      <x:c r="AB77" s="95"/>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NOT_STARTED</x:v>
      </x:c>
      <x:c r="R78" s="14" t="str"/>
      <x:c r="S78" s="14" t="str"/>
      <x:c r="T78" s="94"/>
      <x:c r="U78" s="95"/>
      <x:c r="V78" s="95"/>
      <x:c r="W78" s="95"/>
      <x:c r="X78" s="95"/>
      <x:c r="Y78" s="101" t="n">
        <x:v>0</x:v>
      </x:c>
      <x:c r="Z78" s="95"/>
      <x:c r="AA78" s="95"/>
      <x:c r="AB78" s="95"/>
      <x:c r="AC78" s="96" t="n">
        <x:v>0</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NOT_STARTED</x:v>
      </x:c>
      <x:c r="R79" s="14" t="str"/>
      <x:c r="S79" s="14" t="str"/>
      <x:c r="T79" s="94"/>
      <x:c r="U79" s="95"/>
      <x:c r="V79" s="95"/>
      <x:c r="W79" s="95"/>
      <x:c r="X79" s="95"/>
      <x:c r="Y79" s="101" t="n">
        <x:v>0</x:v>
      </x:c>
      <x:c r="Z79" s="95"/>
      <x:c r="AA79" s="95"/>
      <x:c r="AB79" s="95"/>
      <x:c r="AC79" s="96" t="n">
        <x:v>0</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NOT_STARTED</x:v>
      </x:c>
      <x:c r="R80" s="14" t="str"/>
      <x:c r="S80" s="14" t="str"/>
      <x:c r="T80" s="94"/>
      <x:c r="U80" s="95"/>
      <x:c r="V80" s="95"/>
      <x:c r="W80" s="95"/>
      <x:c r="X80" s="95"/>
      <x:c r="Y80" s="101" t="n">
        <x:v>0</x:v>
      </x:c>
      <x:c r="Z80" s="95"/>
      <x:c r="AA80" s="95"/>
      <x:c r="AB80" s="95"/>
      <x:c r="AC80" s="96" t="n">
        <x:v>0</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NOT_STARTED</x:v>
      </x:c>
      <x:c r="R81" s="14" t="str"/>
      <x:c r="S81" s="14" t="str"/>
      <x:c r="T81" s="94"/>
      <x:c r="U81" s="95"/>
      <x:c r="V81" s="95"/>
      <x:c r="W81" s="95"/>
      <x:c r="X81" s="95"/>
      <x:c r="Y81" s="101" t="n">
        <x:v>0</x:v>
      </x:c>
      <x:c r="Z81" s="95"/>
      <x:c r="AA81" s="95"/>
      <x:c r="AB81" s="95"/>
      <x:c r="AC81" s="96" t="n">
        <x:v>0</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NOT_STARTED</x:v>
      </x:c>
      <x:c r="R82" s="14" t="str"/>
      <x:c r="S82" s="14" t="str"/>
      <x:c r="T82" s="94"/>
      <x:c r="U82" s="95"/>
      <x:c r="V82" s="95"/>
      <x:c r="W82" s="95"/>
      <x:c r="X82" s="95"/>
      <x:c r="Y82" s="101" t="n">
        <x:v>0</x:v>
      </x:c>
      <x:c r="Z82" s="95"/>
      <x:c r="AA82" s="95"/>
      <x:c r="AB82" s="95"/>
      <x:c r="AC82" s="96" t="n">
        <x:v>0</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NOT_STARTED</x:v>
      </x:c>
      <x:c r="R83" s="14" t="str"/>
      <x:c r="S83" s="14" t="str"/>
      <x:c r="T83" s="94"/>
      <x:c r="U83" s="95"/>
      <x:c r="V83" s="95"/>
      <x:c r="W83" s="95"/>
      <x:c r="X83" s="95"/>
      <x:c r="Y83" s="101" t="n">
        <x:v>0</x:v>
      </x:c>
      <x:c r="Z83" s="95"/>
      <x:c r="AA83" s="95"/>
      <x:c r="AB83" s="95"/>
      <x:c r="AC83" s="96" t="n">
        <x:v>0</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NOT_STARTED</x:v>
      </x:c>
      <x:c r="R84" s="14" t="str"/>
      <x:c r="S84" s="14" t="str"/>
      <x:c r="T84" s="94"/>
      <x:c r="U84" s="95"/>
      <x:c r="V84" s="95"/>
      <x:c r="W84" s="95"/>
      <x:c r="X84" s="95"/>
      <x:c r="Y84" s="101" t="n">
        <x:v>0</x:v>
      </x:c>
      <x:c r="Z84" s="95"/>
      <x:c r="AA84" s="95"/>
      <x:c r="AB84" s="95"/>
      <x:c r="AC84" s="96" t="n">
        <x:v>0</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NOT_STARTED</x:v>
      </x:c>
      <x:c r="R85" s="14" t="str"/>
      <x:c r="S85" s="14" t="str"/>
      <x:c r="T85" s="94"/>
      <x:c r="U85" s="95"/>
      <x:c r="V85" s="95"/>
      <x:c r="W85" s="95"/>
      <x:c r="X85" s="95"/>
      <x:c r="Y85" s="101" t="n">
        <x:v>0</x:v>
      </x:c>
      <x:c r="Z85" s="95"/>
      <x:c r="AA85" s="95"/>
      <x:c r="AB85" s="95"/>
      <x:c r="AC85" s="96" t="n">
        <x:v>0</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IN_PROGRESS</x:v>
      </x:c>
      <x:c r="R93" s="14" t="str">
        <x:v>controller/ctrl-lis-2-9b3984de/subagent-5</x:v>
      </x:c>
      <x:c r="S93" s="14" t="str"/>
      <x:c r="T93" s="94" t="str">
        <x:v>6cac35ba-f083-46a0-b009-e8ca03a9b3a7</x:v>
      </x:c>
      <x:c r="U93" s="95" t="str">
        <x:v>2026-06-19T16:24:16Z</x:v>
      </x:c>
      <x:c r="V93" s="95" t="str">
        <x:v>2026-06-19T16:24:16Z</x:v>
      </x:c>
      <x:c r="W93" s="95" t="str">
        <x:v>2026-06-19T18:24:16Z</x:v>
      </x:c>
      <x:c r="X93" s="95"/>
      <x:c r="Y93" s="101" t="n">
        <x:v>0</x:v>
      </x:c>
      <x:c r="Z93" s="95" t="str">
        <x:v>Claimed by controller/ctrl-lis-2-9b3984de/subagent-5</x:v>
      </x:c>
      <x:c r="AA93" s="95"/>
      <x:c r="AB93" s="95"/>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NOT_STARTED</x:v>
      </x:c>
      <x:c r="R94" s="14" t="str"/>
      <x:c r="S94" s="14" t="str"/>
      <x:c r="T94" s="94"/>
      <x:c r="U94" s="95"/>
      <x:c r="V94" s="95"/>
      <x:c r="W94" s="95"/>
      <x:c r="X94" s="95"/>
      <x:c r="Y94" s="101" t="n">
        <x:v>0</x:v>
      </x:c>
      <x:c r="Z94" s="95"/>
      <x:c r="AA94" s="95"/>
      <x:c r="AB94" s="95"/>
      <x:c r="AC94" s="96" t="n">
        <x:v>0</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NOT_STARTED</x:v>
      </x:c>
      <x:c r="R95" s="14" t="str"/>
      <x:c r="S95" s="14" t="str"/>
      <x:c r="T95" s="94"/>
      <x:c r="U95" s="95"/>
      <x:c r="V95" s="95"/>
      <x:c r="W95" s="95"/>
      <x:c r="X95" s="95"/>
      <x:c r="Y95" s="101" t="n">
        <x:v>0</x:v>
      </x:c>
      <x:c r="Z95" s="95"/>
      <x:c r="AA95" s="95"/>
      <x:c r="AB95" s="95"/>
      <x:c r="AC95" s="96" t="n">
        <x:v>0</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NOT_STARTED</x:v>
      </x:c>
      <x:c r="R96" s="14" t="str"/>
      <x:c r="S96" s="14" t="str"/>
      <x:c r="T96" s="94"/>
      <x:c r="U96" s="95"/>
      <x:c r="V96" s="95"/>
      <x:c r="W96" s="95"/>
      <x:c r="X96" s="95"/>
      <x:c r="Y96" s="101" t="n">
        <x:v>0</x:v>
      </x:c>
      <x:c r="Z96" s="95"/>
      <x:c r="AA96" s="95"/>
      <x:c r="AB96" s="95"/>
      <x:c r="AC96" s="96" t="n">
        <x:v>0</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NOT_STARTED</x:v>
      </x:c>
      <x:c r="R97" s="14" t="str"/>
      <x:c r="S97" s="14" t="str"/>
      <x:c r="T97" s="94"/>
      <x:c r="U97" s="95"/>
      <x:c r="V97" s="95"/>
      <x:c r="W97" s="95"/>
      <x:c r="X97" s="95"/>
      <x:c r="Y97" s="101" t="n">
        <x:v>0</x:v>
      </x:c>
      <x:c r="Z97" s="95"/>
      <x:c r="AA97" s="95"/>
      <x:c r="AB97" s="95"/>
      <x:c r="AC97" s="96" t="n">
        <x:v>0</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NOT_STARTED</x:v>
      </x:c>
      <x:c r="R98" s="14" t="str"/>
      <x:c r="S98" s="14" t="str"/>
      <x:c r="T98" s="94"/>
      <x:c r="U98" s="95"/>
      <x:c r="V98" s="95"/>
      <x:c r="W98" s="95"/>
      <x:c r="X98" s="95"/>
      <x:c r="Y98" s="101" t="n">
        <x:v>0</x:v>
      </x:c>
      <x:c r="Z98" s="95"/>
      <x:c r="AA98" s="95"/>
      <x:c r="AB98" s="95"/>
      <x:c r="AC98" s="96" t="n">
        <x:v>0</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NOT_STARTED</x:v>
      </x:c>
      <x:c r="R99" s="14" t="str"/>
      <x:c r="S99" s="14" t="str"/>
      <x:c r="T99" s="94"/>
      <x:c r="U99" s="95"/>
      <x:c r="V99" s="95"/>
      <x:c r="W99" s="95"/>
      <x:c r="X99" s="95"/>
      <x:c r="Y99" s="101" t="n">
        <x:v>0</x:v>
      </x:c>
      <x:c r="Z99" s="95"/>
      <x:c r="AA99" s="95"/>
      <x:c r="AB99" s="95"/>
      <x:c r="AC99" s="96" t="n">
        <x:v>0</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NOT_STARTED</x:v>
      </x:c>
      <x:c r="R103" s="14" t="str"/>
      <x:c r="S103" s="14" t="str"/>
      <x:c r="T103" s="94"/>
      <x:c r="U103" s="95"/>
      <x:c r="V103" s="95"/>
      <x:c r="W103" s="95"/>
      <x:c r="X103" s="95"/>
      <x:c r="Y103" s="101" t="n">
        <x:v>0</x:v>
      </x:c>
      <x:c r="Z103" s="95"/>
      <x:c r="AA103" s="95"/>
      <x:c r="AB103" s="95"/>
      <x:c r="AC103" s="96" t="n">
        <x:v>0</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t="str"/>
      <x:c r="S104" s="14" t="str"/>
      <x:c r="T104" s="94"/>
      <x:c r="U104" s="95"/>
      <x:c r="V104" s="95"/>
      <x:c r="W104" s="95"/>
      <x:c r="X104" s="95"/>
      <x:c r="Y104" s="101" t="n">
        <x:v>0</x:v>
      </x:c>
      <x:c r="Z104" s="95"/>
      <x:c r="AA104" s="95"/>
      <x:c r="AB104" s="95"/>
      <x:c r="AC104" s="96" t="n">
        <x:v>0</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NOT_STARTED</x:v>
      </x:c>
      <x:c r="R107" s="14" t="str"/>
      <x:c r="S107" s="14" t="str"/>
      <x:c r="T107" s="94"/>
      <x:c r="U107" s="95"/>
      <x:c r="V107" s="95"/>
      <x:c r="W107" s="95"/>
      <x:c r="X107" s="95"/>
      <x:c r="Y107" s="101" t="n">
        <x:v>0</x:v>
      </x:c>
      <x:c r="Z107" s="95"/>
      <x:c r="AA107" s="95"/>
      <x:c r="AB107" s="95"/>
      <x:c r="AC107" s="96" t="n">
        <x:v>0</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NOT_STARTED</x:v>
      </x:c>
      <x:c r="R108" s="14" t="str"/>
      <x:c r="S108" s="14" t="str"/>
      <x:c r="T108" s="94"/>
      <x:c r="U108" s="95"/>
      <x:c r="V108" s="95"/>
      <x:c r="W108" s="95"/>
      <x:c r="X108" s="95"/>
      <x:c r="Y108" s="101" t="n">
        <x:v>0</x:v>
      </x:c>
      <x:c r="Z108" s="95"/>
      <x:c r="AA108" s="95"/>
      <x:c r="AB108" s="95"/>
      <x:c r="AC108" s="96" t="n">
        <x:v>0</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NOT_STARTED</x:v>
      </x:c>
      <x:c r="R116" s="14" t="str"/>
      <x:c r="S116" s="14" t="str"/>
      <x:c r="T116" s="94"/>
      <x:c r="U116" s="95"/>
      <x:c r="V116" s="95"/>
      <x:c r="W116" s="95"/>
      <x:c r="X116" s="95"/>
      <x:c r="Y116" s="101" t="n">
        <x:v>0</x:v>
      </x:c>
      <x:c r="Z116" s="95"/>
      <x:c r="AA116" s="95"/>
      <x:c r="AB116" s="95"/>
      <x:c r="AC116" s="96" t="n">
        <x:v>0</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IN_PROGRESS</x:v>
      </x:c>
      <x:c r="R122" s="14" t="str">
        <x:v>controller/ctrl-lis-2-05df2af9/subagent-5</x:v>
      </x:c>
      <x:c r="S122" s="14" t="str"/>
      <x:c r="T122" s="94" t="str">
        <x:v>2b9cdbe2-5b3d-48fe-a545-c342611f2f70</x:v>
      </x:c>
      <x:c r="U122" s="95" t="str">
        <x:v>2026-06-19T20:12:14Z</x:v>
      </x:c>
      <x:c r="V122" s="95" t="str">
        <x:v>2026-06-19T20:12:14Z</x:v>
      </x:c>
      <x:c r="W122" s="95" t="str">
        <x:v>2026-06-20T20:12:14Z</x:v>
      </x:c>
      <x:c r="X122" s="95"/>
      <x:c r="Y122" s="101" t="n">
        <x:v>0</x:v>
      </x:c>
      <x:c r="Z122" s="95" t="str">
        <x:v>Claimed by controller/ctrl-lis-2-05df2af9/subagent-5</x:v>
      </x:c>
      <x:c r="AA122" s="95"/>
      <x:c r="AB122" s="95"/>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NOT_STARTED</x:v>
      </x:c>
      <x:c r="R127" s="14" t="str"/>
      <x:c r="S127" s="14" t="str"/>
      <x:c r="T127" s="94"/>
      <x:c r="U127" s="95"/>
      <x:c r="V127" s="95"/>
      <x:c r="W127" s="95"/>
      <x:c r="X127" s="95"/>
      <x:c r="Y127" s="101" t="n">
        <x:v>0</x:v>
      </x:c>
      <x:c r="Z127" s="95"/>
      <x:c r="AA127" s="95"/>
      <x:c r="AB127" s="95"/>
      <x:c r="AC127" s="96" t="n">
        <x:v>0</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NOT_STARTED</x:v>
      </x:c>
      <x:c r="R128" s="14" t="str"/>
      <x:c r="S128" s="14" t="str"/>
      <x:c r="T128" s="94"/>
      <x:c r="U128" s="95"/>
      <x:c r="V128" s="95"/>
      <x:c r="W128" s="95"/>
      <x:c r="X128" s="95"/>
      <x:c r="Y128" s="101" t="n">
        <x:v>0</x:v>
      </x:c>
      <x:c r="Z128" s="95"/>
      <x:c r="AA128" s="95"/>
      <x:c r="AB128" s="95"/>
      <x:c r="AC128" s="96" t="n">
        <x:v>0</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Generate validation/report entries for properties written but never read, read but never initialized, map/player property name collisions, and legacy compatibility flags with no remaining consumer. Include an allowlist for externally consumed tooling/MCP flags and intentionally synchronized legacy flags.</x:v>
      </x:c>
      <x:c r="N129" s="14" t="str">
        <x:v>Stale or contradictory quest flags become visible during validation.</x:v>
      </x:c>
      <x:c r="O129" s="14" t="str">
        <x:v>Add fixtures for stale flag, missing initialization, and allowed compatibility flag.</x:v>
      </x:c>
      <x:c r="P129" s="14" t="str">
        <x:v>https://github.com/lisu188/fall-of-nouraajd/blob/main/scripts/validate_content.py
https://github.com/lisu188/fall-of-nouraajd/blob/main/tests/test_content_validator.py
https://github.com/lisu188/fall-of-nouraajd/blob/main/res/maps/nouraajd/script.py</x:v>
      </x:c>
      <x:c r="Q129" s="14" t="str">
        <x:v>NOT_STARTED</x:v>
      </x:c>
      <x:c r="R129" s="14" t="str"/>
      <x:c r="S129" s="14" t="str"/>
      <x:c r="T129" s="94"/>
      <x:c r="U129" s="95"/>
      <x:c r="V129" s="95"/>
      <x:c r="W129" s="95"/>
      <x:c r="X129" s="95"/>
      <x:c r="Y129" s="101" t="n">
        <x:v>0</x:v>
      </x:c>
      <x:c r="Z129" s="95"/>
      <x:c r="AA129" s="95"/>
      <x:c r="AB129" s="95"/>
      <x:c r="AC129" s="96" t="n">
        <x:v>0</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Integrate quest-state validation into the existing content validation command. Update docs/testing.md if command output or required checks change. Ensure validation remains prebuild and does not import _game, preserving the current fast-fail CI behavior.</x:v>
      </x:c>
      <x:c r="N130" s="14" t="str">
        <x:v>Quest-state errors fail before native build and are documented in the normal workflow.</x:v>
      </x:c>
      <x:c r="O130" s="14" t="str">
        <x:v>Run scripts/validate_content.py --repo-root . and python3 -m unittest tests.test_content_validator.</x:v>
      </x:c>
      <x:c r="P130" s="14" t="str">
        <x:v>https://github.com/lisu188/fall-of-nouraajd/blob/main/docs/testing.md
https://github.com/lisu188/fall-of-nouraajd/blob/main/scripts/validate_content.py
https://github.com/lisu188/fall-of-nouraajd/blob/main/tests/test_content_validator.py</x:v>
      </x:c>
      <x:c r="Q130" s="14" t="str">
        <x:v>NOT_STARTED</x:v>
      </x:c>
      <x:c r="R130" s="14" t="str"/>
      <x:c r="S130" s="14" t="str"/>
      <x:c r="T130" s="94"/>
      <x:c r="U130" s="95"/>
      <x:c r="V130" s="95"/>
      <x:c r="W130" s="95"/>
      <x:c r="X130" s="95"/>
      <x:c r="Y130" s="101" t="n">
        <x:v>0</x:v>
      </x:c>
      <x:c r="Z130" s="95"/>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NOT_STARTED</x:v>
      </x:c>
      <x:c r="R132" s="14" t="str"/>
      <x:c r="S132" s="14" t="str"/>
      <x:c r="T132" s="94"/>
      <x:c r="U132" s="95"/>
      <x:c r="V132" s="95"/>
      <x:c r="W132" s="95"/>
      <x:c r="X132" s="95"/>
      <x:c r="Y132" s="101" t="n">
        <x:v>0</x:v>
      </x:c>
      <x:c r="Z132" s="95"/>
      <x:c r="AA132" s="95"/>
      <x:c r="AB132" s="95"/>
      <x:c r="AC132" s="96" t="n">
        <x:v>0</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Add cleanup helpers for exact object names and reviewed prefixes used by runtime-spawned quest actors. Use them for Victor cultists, cultLeaderQuest, amuletGoblin, oldWoman cleanup, and any audited runtime-spawned enemies. Helpers should tolerate already-dead or already-removed actors.</x:v>
      </x:c>
      <x:c r="N133" s="14" t="str">
        <x:v>Quest cleanup is deterministic and safe to replay.</x:v>
      </x:c>
      <x:c r="O133" s="14" t="str">
        <x:v>Tests cover cleanup after actor already removed, after save/reload, and after failure branch.</x:v>
      </x:c>
      <x:c r="P133" s="14" t="str">
        <x:v>https://github.com/lisu188/fall-of-nouraajd/blob/main/res/game.py
https://github.com/lisu188/fall-of-nouraajd/blob/main/res/maps/nouraajd/script.py</x:v>
      </x:c>
      <x:c r="Q133" s="14" t="str">
        <x:v>NOT_STARTED</x:v>
      </x:c>
      <x:c r="R133" s="14" t="str"/>
      <x:c r="S133" s="14" t="str"/>
      <x:c r="T133" s="94"/>
      <x:c r="U133" s="95"/>
      <x:c r="V133" s="95"/>
      <x:c r="W133" s="95"/>
      <x:c r="X133" s="95"/>
      <x:c r="Y133" s="101" t="n">
        <x:v>0</x:v>
      </x:c>
      <x:c r="Z133" s="95"/>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tests asserting exact gold, item counts, quest sets, reward flags, spawned object counts, NPC presence, and vendor/heal behavior for Victor, amulet, OctoBogz, and siege completion. Replay each completion trigger/action and verify no duplicate rewards.</x:v>
      </x:c>
      <x:c r="N134" s="14" t="str">
        <x:v>One-time rewards and cleanup are enforced by tests.</x:v>
      </x:c>
      <x:c r="O134" s="14" t="str">
        <x:v>Run python3 test.py and MCP scenarios for gameplay-facing flows.</x:v>
      </x:c>
      <x:c r="P134" s="14" t="str">
        <x:v>https://github.com/lisu188/fall-of-nouraajd/blob/main/test.py
https://github.com/lisu188/fall-of-nouraajd/blob/main/res/maps/nouraajd/script.py
https://github.com/lisu188/fall-of-nouraajd/blob/main/res/maps/siege/script.py</x:v>
      </x:c>
      <x:c r="Q134" s="14" t="str">
        <x:v>NOT_STARTED</x:v>
      </x:c>
      <x:c r="R134" s="14" t="str"/>
      <x:c r="S134" s="14" t="str"/>
      <x:c r="T134" s="94"/>
      <x:c r="U134" s="95"/>
      <x:c r="V134" s="95"/>
      <x:c r="W134" s="95"/>
      <x:c r="X134" s="95"/>
      <x:c r="Y134" s="101" t="n">
        <x:v>0</x:v>
      </x:c>
      <x:c r="Z134" s="95"/>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Add reusable helpers for MCP-style scenarios: load game, start map with class, retrieve map/player, locate objects, move real player, pump event loop, invoke dialog action, save/reload, and assert inventory/quests/flags/objects. Keep object names and coordinates sourced from map/config files, not hard-coded assumptions.</x:v>
      </x:c>
      <x:c r="N135" s="14" t="str">
        <x:v>Scenario tests can drive real game sessions with minimal duplicated boilerplate.</x:v>
      </x:c>
      <x:c r="O135" s="14" t="str">
        <x:v>Run at least one simple map walkthrough scenario through the harness.</x:v>
      </x:c>
      <x:c r="P135" s="14" t="str">
        <x:v>https://github.com/lisu188/fall-of-nouraajd/blob/main/test.py
https://github.com/lisu188/fall-of-nouraajd/blob/main/mcp.py
https://github.com/lisu188/fall-of-nouraajd/blob/main/tests</x:v>
      </x:c>
      <x:c r="Q135" s="14" t="str">
        <x:v>NOT_STARTED</x:v>
      </x:c>
      <x:c r="R135" s="14" t="str"/>
      <x:c r="S135" s="14" t="str"/>
      <x:c r="T135" s="94"/>
      <x:c r="U135" s="95"/>
      <x:c r="V135" s="95"/>
      <x:c r="W135" s="95"/>
      <x:c r="X135" s="95"/>
      <x:c r="Y135" s="101" t="n">
        <x:v>0</x:v>
      </x:c>
      <x:c r="Z135" s="95"/>
      <x:c r="AA135" s="95"/>
      <x:c r="AB135" s="95"/>
      <x:c r="AC135" s="96" t="n">
        <x:v>0</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scenarios for Rolf-&gt;Gooby, letter delivery, relic acquisition and return, OctoBogz before/after relic return, cave cleanse and transition to ritual, amulet start/thief/return/cleanup, Victor good ending, Victor bad ending, and class-specific Inquisitor/Wayfarer discoveries.</x:v>
      </x:c>
      <x:c r="N136" s="14" t="str">
        <x:v>Each major Nouraajd quest line has a real-session regression.</x:v>
      </x:c>
      <x:c r="O136" s="14" t="str">
        <x:v>Run MCP validation and full python3 test.py if integrated.</x:v>
      </x:c>
      <x:c r="P136" s="14" t="str">
        <x:v>https://github.com/lisu188/fall-of-nouraajd/blob/main/test.py
https://github.com/lisu188/fall-of-nouraajd/blob/main/res/maps/nouraajd/script.py
https://github.com/lisu188/fall-of-nouraajd/blob/main/res/maps/nouraajd/dialog*.json
https://github.com/lisu188/fall-of-nouraajd/blob/main/res/maps/nouraajd/map.json</x:v>
      </x:c>
      <x:c r="Q136" s="14" t="str">
        <x:v>NOT_STARTED</x:v>
      </x:c>
      <x:c r="R136" s="14" t="str"/>
      <x:c r="S136" s="14" t="str"/>
      <x:c r="T136" s="94"/>
      <x:c r="U136" s="95"/>
      <x:c r="V136" s="95"/>
      <x:c r="W136" s="95"/>
      <x:c r="X136" s="95"/>
      <x:c r="Y136" s="101" t="n">
        <x:v>0</x:v>
      </x:c>
      <x:c r="Z136" s="95"/>
      <x:c r="AA136" s="95"/>
      <x:c r="AB136" s="95"/>
      <x:c r="AC136" s="96" t="n">
        <x:v>0</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 permutations for the Beren/OctoBogz chain, including killing OctoBogz before letter delivery, returning relic before/after OctoBogz, saving/reloading between stages, and completing cleanse after reload. Assert state machine flags and quest journal contents after each branch.</x:v>
      </x:c>
      <x:c r="N137" s="14" t="str">
        <x:v>Quest state machine order sensitivity is covered by tests.</x:v>
      </x:c>
      <x:c r="O137" s="14" t="str">
        <x:v>Run targeted scenario tests and save compatibility tests.</x:v>
      </x:c>
      <x:c r="P137" s="14" t="str">
        <x:v>https://github.com/lisu188/fall-of-nouraajd/blob/main/test.py
https://github.com/lisu188/fall-of-nouraajd/blob/main/res/maps/nouraajd/script.py</x:v>
      </x:c>
      <x:c r="Q137" s="14" t="str">
        <x:v>NOT_STARTED</x:v>
      </x:c>
      <x:c r="R137" s="14" t="str"/>
      <x:c r="S137" s="14" t="str"/>
      <x:c r="T137" s="94"/>
      <x:c r="U137" s="95"/>
      <x:c r="V137" s="95"/>
      <x:c r="W137" s="95"/>
      <x:c r="X137" s="95"/>
      <x:c r="Y137" s="101" t="n">
        <x:v>0</x:v>
      </x:c>
      <x:c r="Z137" s="95"/>
      <x:c r="AA137" s="95"/>
      <x:c r="AB137" s="95"/>
      <x:c r="AC137" s="96" t="n">
        <x:v>0</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Ensure MCP scenario subprocesses drain stderr concurrently and use wider timeouts for full-map jsonify calls. Use the current repository guidance for stdio server invocation and shutdown. Avoid arbitrary sleeps; pump event_loop.instance().run() after movement, dialogs, changeMap, and queued actions.</x:v>
      </x:c>
      <x:c r="N138" s="14" t="str">
        <x:v>Long campaign scenarios do not hang because of blocked stderr or too-small map serialization timeouts.</x:v>
      </x:c>
      <x:c r="O138" s="14" t="str">
        <x:v>Run stdio MCP handshake and one full campaign scenario.</x:v>
      </x:c>
      <x:c r="P138" s="14" t="str">
        <x:v>https://github.com/lisu188/fall-of-nouraajd/blob/main/test.py
https://github.com/lisu188/fall-of-nouraajd/blob/main/mcp.py
https://github.com/lisu188/fall-of-nouraajd/blob/main/docs/testing.md</x:v>
      </x:c>
      <x:c r="Q138" s="14" t="str">
        <x:v>NOT_STARTED</x:v>
      </x:c>
      <x:c r="R138" s="14" t="str"/>
      <x:c r="S138" s="14" t="str"/>
      <x:c r="T138" s="94"/>
      <x:c r="U138" s="95"/>
      <x:c r="V138" s="95"/>
      <x:c r="W138" s="95"/>
      <x:c r="X138" s="95"/>
      <x:c r="Y138" s="101" t="n">
        <x:v>0</x:v>
      </x:c>
      <x:c r="Z138" s="95"/>
      <x:c r="AA138" s="95"/>
      <x:c r="AB138" s="95"/>
      <x:c r="AC138" s="96" t="n">
        <x:v>0</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Split campaign scenarios into fast smoke cases and slower full-route cases if needed. Document which run in every PR and which run under labels or scheduled CI. Ensure any gameplay-change story specifies the required scenario subset in its final report.</x:v>
      </x:c>
      <x:c r="N139" s="14" t="str">
        <x:v>Campaign regression coverage is practical for CI without hiding required gameplay checks.</x:v>
      </x:c>
      <x:c r="O139" s="14" t="str">
        <x:v>Run documented commands locally and update docs if workflow changes.</x:v>
      </x:c>
      <x:c r="P139" s="14" t="str">
        <x:v>https://github.com/lisu188/fall-of-nouraajd/blob/main/docs/testing.md
https://github.com/lisu188/fall-of-nouraajd/blob/main/.github/workflows/build.yml
https://github.com/lisu188/fall-of-nouraajd/blob/main/test.py</x:v>
      </x:c>
      <x:c r="Q139" s="14" t="str">
        <x:v>NOT_STARTED</x:v>
      </x:c>
      <x:c r="R139" s="14" t="str"/>
      <x:c r="S139" s="14" t="str"/>
      <x:c r="T139" s="97"/>
      <x:c r="U139" s="98"/>
      <x:c r="V139" s="98"/>
      <x:c r="W139" s="98"/>
      <x:c r="X139" s="98"/>
      <x:c r="Y139" s="102" t="n">
        <x:v>0</x:v>
      </x:c>
      <x:c r="Z139" s="98"/>
      <x:c r="AA139" s="98"/>
      <x:c r="AB139" s="98"/>
      <x:c r="AC139" s="99" t="n">
        <x:v>0</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d213c167f8c41a3"/>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